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1e08fdf5e3df75/Santa Clara University/TRIATHLON/Results/"/>
    </mc:Choice>
  </mc:AlternateContent>
  <xr:revisionPtr revIDLastSave="243" documentId="8_{6B71013E-6371-4F98-97A3-EE2E4CF7D0D6}" xr6:coauthVersionLast="47" xr6:coauthVersionMax="47" xr10:uidLastSave="{044D523F-B6C3-4248-959E-D6BC73578CB7}"/>
  <bookViews>
    <workbookView xWindow="-108" yWindow="-108" windowWidth="23256" windowHeight="13896" xr2:uid="{D10E9859-054D-40F1-AA72-C99CCA6E3D25}"/>
  </bookViews>
  <sheets>
    <sheet name="2026 Results" sheetId="1" r:id="rId1"/>
    <sheet name="SCU Only" sheetId="2" r:id="rId2"/>
    <sheet name="2024 Results" sheetId="3" r:id="rId3"/>
    <sheet name="24' - 26' Comparis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X4" i="1"/>
  <c r="Z2" i="1"/>
  <c r="X68" i="1"/>
  <c r="Q8" i="4"/>
  <c r="O8" i="4"/>
  <c r="K8" i="4"/>
  <c r="G8" i="4"/>
  <c r="X147" i="1"/>
  <c r="X26" i="1"/>
  <c r="X146" i="1"/>
  <c r="X58" i="1"/>
  <c r="X67" i="1"/>
  <c r="X84" i="1"/>
  <c r="X141" i="1"/>
  <c r="X94" i="1"/>
  <c r="X62" i="1"/>
  <c r="X150" i="1"/>
  <c r="X135" i="1"/>
  <c r="X144" i="1"/>
  <c r="X61" i="1"/>
  <c r="X85" i="1"/>
  <c r="X102" i="1"/>
  <c r="X145" i="1"/>
  <c r="X54" i="1"/>
  <c r="X77" i="1"/>
  <c r="X60" i="1"/>
  <c r="X123" i="1"/>
  <c r="X114" i="1"/>
  <c r="X148" i="1"/>
  <c r="X29" i="1"/>
  <c r="X132" i="1"/>
  <c r="X133" i="1"/>
  <c r="X106" i="1"/>
  <c r="X134" i="1"/>
  <c r="X41" i="1"/>
  <c r="X136" i="1"/>
  <c r="X139" i="1"/>
  <c r="X124" i="1"/>
  <c r="X128" i="1"/>
  <c r="X44" i="1"/>
  <c r="X120" i="1"/>
  <c r="X70" i="1"/>
  <c r="X32" i="1"/>
  <c r="X100" i="1"/>
  <c r="X142" i="1"/>
  <c r="X71" i="1"/>
  <c r="X92" i="1"/>
  <c r="X96" i="1"/>
  <c r="X57" i="1"/>
  <c r="X90" i="1"/>
  <c r="X64" i="1"/>
  <c r="X40" i="1"/>
  <c r="X55" i="1"/>
  <c r="X74" i="1"/>
  <c r="X38" i="1"/>
  <c r="X87" i="1"/>
  <c r="X53" i="1"/>
  <c r="X5" i="1"/>
  <c r="X113" i="1"/>
  <c r="X78" i="1"/>
  <c r="X47" i="1"/>
  <c r="X65" i="1"/>
  <c r="X91" i="1"/>
  <c r="X50" i="1"/>
  <c r="X49" i="1"/>
  <c r="X121" i="1"/>
  <c r="X31" i="1"/>
  <c r="X10" i="1"/>
  <c r="X127" i="1"/>
  <c r="X15" i="1"/>
  <c r="X28" i="1"/>
  <c r="X98" i="1"/>
  <c r="X104" i="1"/>
  <c r="X18" i="1"/>
  <c r="X27" i="1"/>
  <c r="X126" i="1"/>
  <c r="X14" i="1"/>
  <c r="X88" i="1"/>
  <c r="X82" i="1"/>
  <c r="X46" i="1"/>
  <c r="X122" i="1"/>
  <c r="X75" i="1"/>
  <c r="X39" i="1"/>
  <c r="X12" i="1"/>
  <c r="X137" i="1"/>
  <c r="X48" i="1"/>
  <c r="X35" i="1"/>
  <c r="X76" i="1"/>
  <c r="X80" i="1"/>
  <c r="X19" i="1"/>
  <c r="X21" i="1"/>
  <c r="X22" i="1"/>
  <c r="X109" i="1"/>
  <c r="X101" i="1"/>
  <c r="X30" i="1"/>
  <c r="X129" i="1"/>
  <c r="X69" i="1"/>
  <c r="X34" i="1"/>
  <c r="X13" i="1"/>
  <c r="X138" i="1"/>
  <c r="X107" i="1"/>
  <c r="X20" i="1"/>
  <c r="X117" i="1"/>
  <c r="X79" i="1"/>
  <c r="X23" i="1"/>
  <c r="X115" i="1"/>
  <c r="X25" i="1"/>
  <c r="X43" i="1"/>
  <c r="X16" i="1"/>
  <c r="X86" i="1"/>
  <c r="X140" i="1"/>
  <c r="X130" i="1"/>
  <c r="X112" i="1"/>
  <c r="X17" i="1"/>
  <c r="X93" i="1"/>
  <c r="X83" i="1"/>
  <c r="X42" i="1"/>
  <c r="X8" i="1"/>
  <c r="X56" i="1"/>
  <c r="X116" i="1"/>
  <c r="X111" i="1"/>
  <c r="X99" i="1"/>
  <c r="X33" i="1"/>
  <c r="X119" i="1"/>
  <c r="X24" i="1"/>
  <c r="X45" i="1"/>
  <c r="X6" i="1"/>
  <c r="X63" i="1"/>
  <c r="X143" i="1"/>
  <c r="X110" i="1"/>
  <c r="X105" i="1"/>
  <c r="X52" i="1"/>
  <c r="X97" i="1"/>
  <c r="X37" i="1"/>
  <c r="X36" i="1"/>
  <c r="X11" i="1"/>
  <c r="X66" i="1"/>
  <c r="X149" i="1"/>
  <c r="X103" i="1"/>
  <c r="X73" i="1"/>
  <c r="X7" i="1"/>
  <c r="X72" i="1"/>
  <c r="X89" i="1"/>
  <c r="X51" i="1"/>
  <c r="X9" i="1"/>
  <c r="X81" i="1"/>
  <c r="X131" i="1"/>
  <c r="X118" i="1"/>
  <c r="X125" i="1"/>
  <c r="X95" i="1"/>
  <c r="X108" i="1"/>
  <c r="X59" i="1"/>
</calcChain>
</file>

<file path=xl/sharedStrings.xml><?xml version="1.0" encoding="utf-8"?>
<sst xmlns="http://schemas.openxmlformats.org/spreadsheetml/2006/main" count="1304" uniqueCount="484">
  <si>
    <t>Bib</t>
  </si>
  <si>
    <t>Name</t>
  </si>
  <si>
    <t>Team Name</t>
  </si>
  <si>
    <t>City</t>
  </si>
  <si>
    <t>Start Time</t>
  </si>
  <si>
    <t>Swim</t>
  </si>
  <si>
    <t>T1</t>
  </si>
  <si>
    <t>Bike</t>
  </si>
  <si>
    <t>T2</t>
  </si>
  <si>
    <t>Run</t>
  </si>
  <si>
    <t>Chip Elapsed</t>
  </si>
  <si>
    <t>Div Place</t>
  </si>
  <si>
    <t>Age</t>
  </si>
  <si>
    <t>Age Place</t>
  </si>
  <si>
    <t>Gender</t>
  </si>
  <si>
    <t>Gender Place</t>
  </si>
  <si>
    <t>JOHNATHAN DOLAN</t>
  </si>
  <si>
    <t>CAL POLY SLO</t>
  </si>
  <si>
    <t>ATASCADERO</t>
  </si>
  <si>
    <t>M</t>
  </si>
  <si>
    <t>JADEN MOORE</t>
  </si>
  <si>
    <t>UCSB</t>
  </si>
  <si>
    <t>SANTA BARBARA</t>
  </si>
  <si>
    <t>KEATON DIEHL</t>
  </si>
  <si>
    <t>UC BERKELEY</t>
  </si>
  <si>
    <t>SEBASTOPOL</t>
  </si>
  <si>
    <t>JASPER ZHOU</t>
  </si>
  <si>
    <t>SAN JOSE</t>
  </si>
  <si>
    <t>ANDREW SEEFELDT</t>
  </si>
  <si>
    <t>UC IRVINE</t>
  </si>
  <si>
    <t>CHARLIE GALL</t>
  </si>
  <si>
    <t>SANTA CLARA</t>
  </si>
  <si>
    <t>FOX ISLAND</t>
  </si>
  <si>
    <t>TATIANA DORRESTEIN</t>
  </si>
  <si>
    <t>UC DAVIS</t>
  </si>
  <si>
    <t>SAN DIEGO</t>
  </si>
  <si>
    <t>F</t>
  </si>
  <si>
    <t>JUDE MAES</t>
  </si>
  <si>
    <t>SAN LEANDRO</t>
  </si>
  <si>
    <t>LORENZO MAGNI</t>
  </si>
  <si>
    <t>STANFORD</t>
  </si>
  <si>
    <t>JO JO SIMSIC</t>
  </si>
  <si>
    <t>CHICO STATE</t>
  </si>
  <si>
    <t>CHICO</t>
  </si>
  <si>
    <t>YUKA KUSUNOKI</t>
  </si>
  <si>
    <t>DAVIS</t>
  </si>
  <si>
    <t>FRANCISCO MARTINEZ INIGUEZ</t>
  </si>
  <si>
    <t>SOUTH SAN FRANCISCO</t>
  </si>
  <si>
    <t>ZACHARY KOLLER</t>
  </si>
  <si>
    <t>FREMONT</t>
  </si>
  <si>
    <t>ALLY LAWSON</t>
  </si>
  <si>
    <t>DERRICK CHAN</t>
  </si>
  <si>
    <t>BELMONT</t>
  </si>
  <si>
    <t>JASON LAIRD</t>
  </si>
  <si>
    <t>SAN LUIS OBISPO</t>
  </si>
  <si>
    <t>THEO BARBOU-DES-PLACES</t>
  </si>
  <si>
    <t>LOS ALTOS</t>
  </si>
  <si>
    <t>ELLA SAY</t>
  </si>
  <si>
    <t>MENLO PARK</t>
  </si>
  <si>
    <t>EMMETT COCKE</t>
  </si>
  <si>
    <t>UCLA</t>
  </si>
  <si>
    <t>ALEXANDRIA</t>
  </si>
  <si>
    <t>ANDREW PASCO</t>
  </si>
  <si>
    <t>JAMES KAEUPER</t>
  </si>
  <si>
    <t>SAN FRANCISCO</t>
  </si>
  <si>
    <t>MAKAI BATES</t>
  </si>
  <si>
    <t>MINNEAPOLIS</t>
  </si>
  <si>
    <t>WILL GIBBS</t>
  </si>
  <si>
    <t>LEXINGTON</t>
  </si>
  <si>
    <t>MELISSA STOK</t>
  </si>
  <si>
    <t>OAKLAND</t>
  </si>
  <si>
    <t>ALESSANDRA AYERS</t>
  </si>
  <si>
    <t>UCSF</t>
  </si>
  <si>
    <t>SAN CARLOS</t>
  </si>
  <si>
    <t>ADAM TRINKLEIN</t>
  </si>
  <si>
    <t>REDWOOD CITY</t>
  </si>
  <si>
    <t>ROBERT ROGERS</t>
  </si>
  <si>
    <t>BERKELEY</t>
  </si>
  <si>
    <t>OCEANSIDE</t>
  </si>
  <si>
    <t>EROL AYIK</t>
  </si>
  <si>
    <t>MERCED</t>
  </si>
  <si>
    <t>CARLO BOSIO</t>
  </si>
  <si>
    <t>TALLULA MURPHREE</t>
  </si>
  <si>
    <t>MALIBU</t>
  </si>
  <si>
    <t>LIAM MCGEE</t>
  </si>
  <si>
    <t>BENICIA</t>
  </si>
  <si>
    <t>MATEO SANCHEZ DELOPE</t>
  </si>
  <si>
    <t>LEO TIAN</t>
  </si>
  <si>
    <t>DAVID BROOM</t>
  </si>
  <si>
    <t>CAYDEN BALDWIN</t>
  </si>
  <si>
    <t>ALBANY</t>
  </si>
  <si>
    <t>CAMERON COX</t>
  </si>
  <si>
    <t>TYLER BROWN</t>
  </si>
  <si>
    <t>LAKE OSWEGO</t>
  </si>
  <si>
    <t>JAMES OLIVER</t>
  </si>
  <si>
    <t>ALEXANDER QUEMUEL</t>
  </si>
  <si>
    <t>DALY CITY</t>
  </si>
  <si>
    <t>OLIVIER VANNIER</t>
  </si>
  <si>
    <t>BERKELEY BURBANK</t>
  </si>
  <si>
    <t>MEMPHIS</t>
  </si>
  <si>
    <t>KEVIN WEST</t>
  </si>
  <si>
    <t>TEDDY YANG</t>
  </si>
  <si>
    <t>KOADY MURPHY</t>
  </si>
  <si>
    <t>KYRELLOS IBRAHIM</t>
  </si>
  <si>
    <t>PATRICK KOCHER</t>
  </si>
  <si>
    <t>EVAN DWYER</t>
  </si>
  <si>
    <t>PALO ALTO</t>
  </si>
  <si>
    <t>EVAN STOKDYK</t>
  </si>
  <si>
    <t>BRETT SWERTFAGER</t>
  </si>
  <si>
    <t>APTOS</t>
  </si>
  <si>
    <t>IRIS HAMELIN</t>
  </si>
  <si>
    <t>THOMAS MCCOMB</t>
  </si>
  <si>
    <t>YODER</t>
  </si>
  <si>
    <t>BROOKE THRELKELD</t>
  </si>
  <si>
    <t>TAYLOR MARSH</t>
  </si>
  <si>
    <t>CARSON BAY</t>
  </si>
  <si>
    <t>FINNEGAN KITE</t>
  </si>
  <si>
    <t>SACRAMENTO</t>
  </si>
  <si>
    <t>JACK FLYNN</t>
  </si>
  <si>
    <t>BING LIN</t>
  </si>
  <si>
    <t>BURLINGAME</t>
  </si>
  <si>
    <t>LUCAS FERGUSON</t>
  </si>
  <si>
    <t>QUINN JOYCE</t>
  </si>
  <si>
    <t>SAN ANSELMO</t>
  </si>
  <si>
    <t>ANTONIN CARLES</t>
  </si>
  <si>
    <t>MAX MANKITA</t>
  </si>
  <si>
    <t>EL CERRITO</t>
  </si>
  <si>
    <t>WILLIAM VANNUCCI</t>
  </si>
  <si>
    <t>CSU SACRAMENTO</t>
  </si>
  <si>
    <t>WOODLAND</t>
  </si>
  <si>
    <t>AADIT SOOD</t>
  </si>
  <si>
    <t>HOUSTONH</t>
  </si>
  <si>
    <t>ELIZA GEIST</t>
  </si>
  <si>
    <t>GOLETA</t>
  </si>
  <si>
    <t>ALEX STORRER</t>
  </si>
  <si>
    <t>JOLIE RICE</t>
  </si>
  <si>
    <t>SALEM</t>
  </si>
  <si>
    <t>KIERA CHING</t>
  </si>
  <si>
    <t>SEVI ADRIAN</t>
  </si>
  <si>
    <t>RACHEL REIMER</t>
  </si>
  <si>
    <t>MINNOLI RAGHAVAN</t>
  </si>
  <si>
    <t>ALISON ARNDT</t>
  </si>
  <si>
    <t>ANTIOCH</t>
  </si>
  <si>
    <t>ANNA KATHAWALA</t>
  </si>
  <si>
    <t>MIRA MASTORAS</t>
  </si>
  <si>
    <t>UC SANTA CRUZ</t>
  </si>
  <si>
    <t>SANTA CRUZ</t>
  </si>
  <si>
    <t>EMELIA MOREL</t>
  </si>
  <si>
    <t>ARTHUR DEAKIN</t>
  </si>
  <si>
    <t>GRACE CINGEL</t>
  </si>
  <si>
    <t>SCITUATE</t>
  </si>
  <si>
    <t>PHILIPP NAGY</t>
  </si>
  <si>
    <t>ZOFIA BRADFORD</t>
  </si>
  <si>
    <t>COOL</t>
  </si>
  <si>
    <t>OMAR ALSHIBANI</t>
  </si>
  <si>
    <t>IRVINE</t>
  </si>
  <si>
    <t>RISHI ANAND</t>
  </si>
  <si>
    <t>CLAIRE KUZIEMKO</t>
  </si>
  <si>
    <t>KATHLEEN REEVES</t>
  </si>
  <si>
    <t>MOLLY CANTILLON</t>
  </si>
  <si>
    <t>LIVINGSTON</t>
  </si>
  <si>
    <t>SAMUEL SAHEL-SCHACKIS</t>
  </si>
  <si>
    <t>SOPHIA SCHMID</t>
  </si>
  <si>
    <t>MANUEL ARGUETA</t>
  </si>
  <si>
    <t>LOS ANGELES</t>
  </si>
  <si>
    <t>JOY PARKER</t>
  </si>
  <si>
    <t>REID GRAHAM</t>
  </si>
  <si>
    <t>HONOLULU</t>
  </si>
  <si>
    <t>HOLLY KIM</t>
  </si>
  <si>
    <t>SYLVIA ZERBA</t>
  </si>
  <si>
    <t>SEATTLE</t>
  </si>
  <si>
    <t>ALLISON AUSTIN</t>
  </si>
  <si>
    <t>KYRA ZION VELASCO</t>
  </si>
  <si>
    <t>CARTER SOE</t>
  </si>
  <si>
    <t>CLAREMONT COLLEGES</t>
  </si>
  <si>
    <t>SAN RAMON</t>
  </si>
  <si>
    <t>MAYA CHASSÉ</t>
  </si>
  <si>
    <t>NICHOLAS RAMOS</t>
  </si>
  <si>
    <t>ANOUK BROSE</t>
  </si>
  <si>
    <t>PAUL KIM</t>
  </si>
  <si>
    <t>JULIAN CHOP</t>
  </si>
  <si>
    <t>THE3CHOPS</t>
  </si>
  <si>
    <t>ABBIE STAAB</t>
  </si>
  <si>
    <t>REAGAN CROUCH</t>
  </si>
  <si>
    <t>KELSEY LAMB</t>
  </si>
  <si>
    <t>ALAMEDA</t>
  </si>
  <si>
    <t>KAISA ALLEN</t>
  </si>
  <si>
    <t>SAN PEDRO</t>
  </si>
  <si>
    <t>ALEXANDRA FRANZI</t>
  </si>
  <si>
    <t>PLACERVILLE</t>
  </si>
  <si>
    <t>DAVID BIRNIE</t>
  </si>
  <si>
    <t>BETTY SUN</t>
  </si>
  <si>
    <t>TIMOTHY CHOP</t>
  </si>
  <si>
    <t>ELLE HOCK</t>
  </si>
  <si>
    <t>BELVEDERE TIBURON</t>
  </si>
  <si>
    <t>TESSA ROGERS</t>
  </si>
  <si>
    <t>TOBY DAVIS</t>
  </si>
  <si>
    <t>STANFORDS</t>
  </si>
  <si>
    <t>NICHOLAS LIN</t>
  </si>
  <si>
    <t>JOSE GIL</t>
  </si>
  <si>
    <t>CHULA VISTA</t>
  </si>
  <si>
    <t>DANIEL JACOBO</t>
  </si>
  <si>
    <t>SOPHIA NAJERA</t>
  </si>
  <si>
    <t>SANTA CLARITA</t>
  </si>
  <si>
    <t>MAYA HOFFSTADT</t>
  </si>
  <si>
    <t>FOLSOM</t>
  </si>
  <si>
    <t>LUKAS SKAAR</t>
  </si>
  <si>
    <t>ELLIE ROTTINGHUIS</t>
  </si>
  <si>
    <t>ADELENA HILLMAN</t>
  </si>
  <si>
    <t>MOGA PENDSE</t>
  </si>
  <si>
    <t>ISABELLA SCRIGNA</t>
  </si>
  <si>
    <t>ROBERT HESS</t>
  </si>
  <si>
    <t>MATTHEW MARCOTULLIO</t>
  </si>
  <si>
    <t>MORGAN HILL</t>
  </si>
  <si>
    <t>KARINA QUINN</t>
  </si>
  <si>
    <t>SAGE BLASER</t>
  </si>
  <si>
    <t>LARS VOIGT-BUI</t>
  </si>
  <si>
    <t>TUSTIN</t>
  </si>
  <si>
    <t>LUKAS KLOSTERMAIR</t>
  </si>
  <si>
    <t>SIDDHARTH SHASHI</t>
  </si>
  <si>
    <t>NATALIA VERGARA</t>
  </si>
  <si>
    <t>MICHAEL PAPER</t>
  </si>
  <si>
    <t>ESTHER LAU</t>
  </si>
  <si>
    <t>SANAYA ROBINSON-SHAH</t>
  </si>
  <si>
    <t>HARPER CARLSON</t>
  </si>
  <si>
    <t>SARA CHAUDOIN</t>
  </si>
  <si>
    <t>LOS GATOS</t>
  </si>
  <si>
    <t>ERIKA JOHNSON</t>
  </si>
  <si>
    <t>GEORGIA DERUNGS</t>
  </si>
  <si>
    <t>LINCOLN</t>
  </si>
  <si>
    <t>ERIKA WU</t>
  </si>
  <si>
    <t>NAOMI BREUER</t>
  </si>
  <si>
    <t>WASHINGTON</t>
  </si>
  <si>
    <t>PABLO SOLANO III</t>
  </si>
  <si>
    <t>RIALTO</t>
  </si>
  <si>
    <t>MAANYA SINGH</t>
  </si>
  <si>
    <t>JO GRAMNAES TJERNSHAUGEN</t>
  </si>
  <si>
    <t>TYLER RUBINO</t>
  </si>
  <si>
    <t>CONCORD</t>
  </si>
  <si>
    <t>AREZOO GHASEMZADEH</t>
  </si>
  <si>
    <t>ROGER HINTSON</t>
  </si>
  <si>
    <t>ASIA ZHANG</t>
  </si>
  <si>
    <t>HAILEY VERGA</t>
  </si>
  <si>
    <t>DONOVAN TRUEL</t>
  </si>
  <si>
    <t>DQ</t>
  </si>
  <si>
    <t>LAINE NELSON</t>
  </si>
  <si>
    <t>MARTINEZ</t>
  </si>
  <si>
    <t>JASON WARTENBERG</t>
  </si>
  <si>
    <t>RYAN SUCHOMEL</t>
  </si>
  <si>
    <t>Overall Rank</t>
  </si>
  <si>
    <t>Run Rank</t>
  </si>
  <si>
    <t>T2 Rank</t>
  </si>
  <si>
    <t>Bike Rank</t>
  </si>
  <si>
    <t>T1 Rank</t>
  </si>
  <si>
    <t>Swim Rank</t>
  </si>
  <si>
    <t>WIKTOR RAJCA</t>
  </si>
  <si>
    <t>EDOARDO LEONE</t>
  </si>
  <si>
    <t>PIOLTELLO</t>
  </si>
  <si>
    <t>DMITRIY MAJOR</t>
  </si>
  <si>
    <t>OLIVER PILON</t>
  </si>
  <si>
    <t>TRYGVE JOHAN TEGNANDER</t>
  </si>
  <si>
    <t>JUSTIN HATCHER</t>
  </si>
  <si>
    <t>JONAS BAR-ON</t>
  </si>
  <si>
    <t>THOMAS MATTHEW</t>
  </si>
  <si>
    <t>HUGH SAULSBURY</t>
  </si>
  <si>
    <t>RYKEN THOMPSON</t>
  </si>
  <si>
    <t>TRENT JOHNSON</t>
  </si>
  <si>
    <t>ROSS GOWAN</t>
  </si>
  <si>
    <t>JACOB LEBOVITZ</t>
  </si>
  <si>
    <t>SEAL BEACH</t>
  </si>
  <si>
    <t>CODY BALAZS</t>
  </si>
  <si>
    <t>LUIS CERVANTES</t>
  </si>
  <si>
    <t>JACOB WOLF</t>
  </si>
  <si>
    <t>LA JOLLA</t>
  </si>
  <si>
    <t>PETER TOMSON</t>
  </si>
  <si>
    <t>MCKENZIE CLARK</t>
  </si>
  <si>
    <t>PATRICK GOODRICH</t>
  </si>
  <si>
    <t>WILL LI</t>
  </si>
  <si>
    <t>NATHAN MONTANEZ</t>
  </si>
  <si>
    <t>ENCINITAS</t>
  </si>
  <si>
    <t>JOSHUA CAGNEY</t>
  </si>
  <si>
    <t>EUAN HOUSTON</t>
  </si>
  <si>
    <t>MCKENZIE COOKE</t>
  </si>
  <si>
    <t>WALNUT CREEK</t>
  </si>
  <si>
    <t>LIAM DREW</t>
  </si>
  <si>
    <t>PALOS VERDES PENINSULA</t>
  </si>
  <si>
    <t>AVA SMITH</t>
  </si>
  <si>
    <t>JASON DE HAAFF</t>
  </si>
  <si>
    <t>KELSEY MCDONALD</t>
  </si>
  <si>
    <t>ARTHUR SADRIAN</t>
  </si>
  <si>
    <t>MAÃ¯DI SUSSET</t>
  </si>
  <si>
    <t>ARUE</t>
  </si>
  <si>
    <t>JAMES SHEPARD</t>
  </si>
  <si>
    <t>JACK PUSZTAI</t>
  </si>
  <si>
    <t>CHINO HILLS</t>
  </si>
  <si>
    <t>KATHRYN MHATRE</t>
  </si>
  <si>
    <t>MORGAN LEVINE</t>
  </si>
  <si>
    <t>MELEK BEN-AYED</t>
  </si>
  <si>
    <t>PAIGE KOUBA</t>
  </si>
  <si>
    <t>FELIPE SANTAMARIA</t>
  </si>
  <si>
    <t>WOODSIDE</t>
  </si>
  <si>
    <t>AIDAN TRUEL</t>
  </si>
  <si>
    <t>NINA FLOREK</t>
  </si>
  <si>
    <t>BRADLEY MANZO</t>
  </si>
  <si>
    <t>ROMER ROSALES-HASEK</t>
  </si>
  <si>
    <t>CHENG JUN POON</t>
  </si>
  <si>
    <t>BRUNO BARTALOS</t>
  </si>
  <si>
    <t>AIDAN BECK</t>
  </si>
  <si>
    <t>SILAS BLACK</t>
  </si>
  <si>
    <t>BRYCE WILSON</t>
  </si>
  <si>
    <t>CAMDEN YOON</t>
  </si>
  <si>
    <t>PORTER RANCH</t>
  </si>
  <si>
    <t>JOHANNA SCHUBERT</t>
  </si>
  <si>
    <t>DIEGO FREEMAN-GARCIA</t>
  </si>
  <si>
    <t>CHARLIE OSBORN</t>
  </si>
  <si>
    <t>MILL VALLEY</t>
  </si>
  <si>
    <t>REBECCA BUSS</t>
  </si>
  <si>
    <t>HILLSBOROUGH</t>
  </si>
  <si>
    <t>CARSON GEYER</t>
  </si>
  <si>
    <t>HUDSON GEHRKE</t>
  </si>
  <si>
    <t>MOUNT HOREB</t>
  </si>
  <si>
    <t>KELLY ABEY</t>
  </si>
  <si>
    <t>JACOB GORIA</t>
  </si>
  <si>
    <t>CHRISTOPHER PARK</t>
  </si>
  <si>
    <t>GAVIN ROSE</t>
  </si>
  <si>
    <t>FOUNTAIN VALLEY</t>
  </si>
  <si>
    <t>HOLLY DUFEK</t>
  </si>
  <si>
    <t>SINDRE CARLSEN</t>
  </si>
  <si>
    <t>ELEANOR YARKIN</t>
  </si>
  <si>
    <t>VASHON</t>
  </si>
  <si>
    <t>MAXINE ESCHGER</t>
  </si>
  <si>
    <t>JERRY SHI</t>
  </si>
  <si>
    <t>MOORPARK</t>
  </si>
  <si>
    <t>CHRISTOFFER TRYGGESTAD</t>
  </si>
  <si>
    <t>PETER COE</t>
  </si>
  <si>
    <t>KALANI DANIEL</t>
  </si>
  <si>
    <t>SAN BERNARDINO</t>
  </si>
  <si>
    <t>JEREMY SHEK</t>
  </si>
  <si>
    <t>BENJAMIN GARVER</t>
  </si>
  <si>
    <t>PORTOLA VALLEY</t>
  </si>
  <si>
    <t>KATE BLANCHARD</t>
  </si>
  <si>
    <t>QI JIA SUN</t>
  </si>
  <si>
    <t>CHARLES JOANNARD</t>
  </si>
  <si>
    <t>ORINDA</t>
  </si>
  <si>
    <t>ARTHUR BRENNINKMEIJER</t>
  </si>
  <si>
    <t>ANNA WINTER</t>
  </si>
  <si>
    <t>RABAN VON SPIEGEL</t>
  </si>
  <si>
    <t>BROOKE SOOBRIAN</t>
  </si>
  <si>
    <t>MAYA MANILDI</t>
  </si>
  <si>
    <t>JOSEPHINE BORSETTO</t>
  </si>
  <si>
    <t>NAPA</t>
  </si>
  <si>
    <t>JACK SPELLMAN</t>
  </si>
  <si>
    <t>NILS BITZER</t>
  </si>
  <si>
    <t>ELISE VAMBENEPE</t>
  </si>
  <si>
    <t>SARATOGA</t>
  </si>
  <si>
    <t>SYLVA CARPENTER</t>
  </si>
  <si>
    <t>MOUNT SHASTA</t>
  </si>
  <si>
    <t>AARNAV BAHL</t>
  </si>
  <si>
    <t>KATJA GUERRERO</t>
  </si>
  <si>
    <t>GIULIA WOLFF</t>
  </si>
  <si>
    <t>PHILIP KOVELMAN-OTTILIE</t>
  </si>
  <si>
    <t>RYAN CHAVEZ</t>
  </si>
  <si>
    <t>RIVERSIDE</t>
  </si>
  <si>
    <t>BRADLEY PARMER-LOHAN</t>
  </si>
  <si>
    <t>TYLER DAVI</t>
  </si>
  <si>
    <t>CARMEL</t>
  </si>
  <si>
    <t>CONOR ZACHAR</t>
  </si>
  <si>
    <t>KEVIN FALKENROTH</t>
  </si>
  <si>
    <t>SOQUEL</t>
  </si>
  <si>
    <t>CHARLOTTE RYDER</t>
  </si>
  <si>
    <t>SIERRA IVERSON</t>
  </si>
  <si>
    <t>JACK FERNEAU</t>
  </si>
  <si>
    <t>CITRUS HEIGHTS</t>
  </si>
  <si>
    <t>CAMILIA SAULINO</t>
  </si>
  <si>
    <t>EDWARD YERETNOV</t>
  </si>
  <si>
    <t>MEGAN DEEVY</t>
  </si>
  <si>
    <t>SCOTT SUPLICK</t>
  </si>
  <si>
    <t>REBECCA HEBERT</t>
  </si>
  <si>
    <t>ANNA YOUNES</t>
  </si>
  <si>
    <t>ALLAN PHAM</t>
  </si>
  <si>
    <t>AL SHUMYATCHER</t>
  </si>
  <si>
    <t>AZURE SUEDA</t>
  </si>
  <si>
    <t>SARAH NAUGHTEN</t>
  </si>
  <si>
    <t>MORAGA</t>
  </si>
  <si>
    <t>PIERRE-NOÃ© MILCAMPS</t>
  </si>
  <si>
    <t>SOPHIE WANG</t>
  </si>
  <si>
    <t>LAILA SHAABAN</t>
  </si>
  <si>
    <t>ADARSH NAGAR</t>
  </si>
  <si>
    <t>VIOLA KATONA</t>
  </si>
  <si>
    <t>MANHATTAN BEACH</t>
  </si>
  <si>
    <t>ALEXIS HAMMOND</t>
  </si>
  <si>
    <t>CORONADO</t>
  </si>
  <si>
    <t>EMILY SHETZLINE</t>
  </si>
  <si>
    <t>RILEY SAMUELS</t>
  </si>
  <si>
    <t>CANOGA PARK</t>
  </si>
  <si>
    <t>THEO BOSCH</t>
  </si>
  <si>
    <t>BEN SCHROEDER</t>
  </si>
  <si>
    <t>ELK GROVE</t>
  </si>
  <si>
    <t>ANNA KOLESOV</t>
  </si>
  <si>
    <t>PACIFIC GROVE</t>
  </si>
  <si>
    <t>GRIFFEN WOLFE</t>
  </si>
  <si>
    <t>PYPER SLATTERY</t>
  </si>
  <si>
    <t>ORANGE</t>
  </si>
  <si>
    <t>MARGIE F.</t>
  </si>
  <si>
    <t>JULIANE WILLERT</t>
  </si>
  <si>
    <t>KINSEY KWAN-LIU</t>
  </si>
  <si>
    <t>GRACE ARMSTRONG</t>
  </si>
  <si>
    <t>VERONIKA ERDOSI SZUCS</t>
  </si>
  <si>
    <t>SANTA ROSA</t>
  </si>
  <si>
    <t>SOFIA SALAZAR</t>
  </si>
  <si>
    <t>DOWNEY</t>
  </si>
  <si>
    <t>NATALIE RICHARDS</t>
  </si>
  <si>
    <t>AUGUST ROLFSEN</t>
  </si>
  <si>
    <t>WILLIAM ZHANG</t>
  </si>
  <si>
    <t>BELLINGHAM</t>
  </si>
  <si>
    <t>PACIFIC PALISADES</t>
  </si>
  <si>
    <t>GIA KIRKLAND</t>
  </si>
  <si>
    <t>ELENA PHILLIPS</t>
  </si>
  <si>
    <t>MONUMENT</t>
  </si>
  <si>
    <t>GREENFIELD</t>
  </si>
  <si>
    <t>ALBERT MIAO</t>
  </si>
  <si>
    <t>CHARLIE ELISON</t>
  </si>
  <si>
    <t>AUSTIN LIU</t>
  </si>
  <si>
    <t>HUNTINGTON BEACH</t>
  </si>
  <si>
    <t>GRACE KASABULA</t>
  </si>
  <si>
    <t>NORTH ANDOVER</t>
  </si>
  <si>
    <t>RYAN CHAU</t>
  </si>
  <si>
    <t>MICHAELA SUMORTIN</t>
  </si>
  <si>
    <t>LAKEWOOD</t>
  </si>
  <si>
    <t>MEIYING IREMONGER</t>
  </si>
  <si>
    <t>LANCE SAPIDA</t>
  </si>
  <si>
    <t>LILY BALOIAN</t>
  </si>
  <si>
    <t>FRESNO</t>
  </si>
  <si>
    <t>TALLULA TRUE</t>
  </si>
  <si>
    <t>NORA ISMAEL</t>
  </si>
  <si>
    <t>PAUL GENIX</t>
  </si>
  <si>
    <t>SOPHIE MCKENNA</t>
  </si>
  <si>
    <t>LILY SCURRIA</t>
  </si>
  <si>
    <t>ZACHARY LAMM</t>
  </si>
  <si>
    <t>MARIA CUNHA</t>
  </si>
  <si>
    <t>ERIK POMPERMAYER</t>
  </si>
  <si>
    <t>JOEY PARK</t>
  </si>
  <si>
    <t>CAMPBELL</t>
  </si>
  <si>
    <t>SOPHIA ROY-BURMAN</t>
  </si>
  <si>
    <t>DEVON SZALVA</t>
  </si>
  <si>
    <t>RENEE SCHULTZ</t>
  </si>
  <si>
    <t>PERLINE HOCHART</t>
  </si>
  <si>
    <t>LINNEA COOLEY</t>
  </si>
  <si>
    <t>FIONNUALA LATOURRETTE</t>
  </si>
  <si>
    <t>LEA PREHU</t>
  </si>
  <si>
    <t>JACOB LEE</t>
  </si>
  <si>
    <t>WESTPORT</t>
  </si>
  <si>
    <t>CHATSWORTH</t>
  </si>
  <si>
    <t>COLIN TRAN</t>
  </si>
  <si>
    <t>MILPITAS</t>
  </si>
  <si>
    <t>JEREMI NUER</t>
  </si>
  <si>
    <t>SAN RAFAEL</t>
  </si>
  <si>
    <t>ATHINA MIHALOPOULOS</t>
  </si>
  <si>
    <t>JOSEPH YI</t>
  </si>
  <si>
    <t>TUJUNGA</t>
  </si>
  <si>
    <t>KIRISH RAAJ</t>
  </si>
  <si>
    <t>WESTFORD</t>
  </si>
  <si>
    <t>EMA DANG</t>
  </si>
  <si>
    <t>VAMSHI BALANAGA</t>
  </si>
  <si>
    <t>ANNE XU</t>
  </si>
  <si>
    <t>KATIE MEADE</t>
  </si>
  <si>
    <t>COURTNEY MCLEAN</t>
  </si>
  <si>
    <t>MARCUS MATA</t>
  </si>
  <si>
    <t>CONNER MCGRAW</t>
  </si>
  <si>
    <t>SHAY MAGAHEY</t>
  </si>
  <si>
    <t>NAOMI ASIMOW</t>
  </si>
  <si>
    <t>BRENDA AGUILAR</t>
  </si>
  <si>
    <t>YUTANG LIN</t>
  </si>
  <si>
    <t>WEST SACRAMENTO</t>
  </si>
  <si>
    <t>MOLLY MCQUEENEY</t>
  </si>
  <si>
    <t>ANTHONY HOANG</t>
  </si>
  <si>
    <t>ANTOINE FROMENT</t>
  </si>
  <si>
    <t>Column2</t>
  </si>
  <si>
    <t>T3</t>
  </si>
  <si>
    <t>Column3</t>
  </si>
  <si>
    <t>Column4</t>
  </si>
  <si>
    <t>Rank Improvement</t>
  </si>
  <si>
    <t xml:space="preserve"> </t>
  </si>
  <si>
    <t>Gender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</si>
</sst>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8"/>
      <color rgb="FF222222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sz val="8"/>
      <name val="Aptos Narrow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66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ECEEEF"/>
      </left>
      <right style="medium">
        <color rgb="FFECEEEF"/>
      </right>
      <top style="medium">
        <color rgb="FFCCCCCC"/>
      </top>
      <bottom style="medium">
        <color rgb="FFECEEEF"/>
      </bottom>
      <diagonal/>
    </border>
    <border>
      <left style="medium">
        <color rgb="FFECEEEF"/>
      </left>
      <right style="medium">
        <color rgb="FFECEEEF"/>
      </right>
      <top style="medium">
        <color rgb="FFECEEEF"/>
      </top>
      <bottom style="medium">
        <color rgb="FFECEEEF"/>
      </bottom>
      <diagonal/>
    </border>
    <border>
      <left/>
      <right style="medium">
        <color rgb="FFECEEEF"/>
      </right>
      <top style="medium">
        <color rgb="FFECEEEF"/>
      </top>
      <bottom style="medium">
        <color rgb="FFECEEEF"/>
      </bottom>
      <diagonal/>
    </border>
    <border>
      <left/>
      <right style="medium">
        <color rgb="FFECEEEF"/>
      </right>
      <top style="medium">
        <color rgb="FFCCCCCC"/>
      </top>
      <bottom style="medium">
        <color rgb="FFECEEEF"/>
      </bottom>
      <diagonal/>
    </border>
    <border>
      <left style="medium">
        <color rgb="FFECEEEF"/>
      </left>
      <right/>
      <top style="medium">
        <color rgb="FFECEEEF"/>
      </top>
      <bottom style="medium">
        <color rgb="FFECEEEF"/>
      </bottom>
      <diagonal/>
    </border>
    <border>
      <left style="medium">
        <color rgb="FFECEEEF"/>
      </left>
      <right/>
      <top style="medium">
        <color rgb="FFCCCCCC"/>
      </top>
      <bottom style="medium">
        <color rgb="FFECEEEF"/>
      </bottom>
      <diagonal/>
    </border>
    <border>
      <left/>
      <right style="medium">
        <color rgb="FFECEEEF"/>
      </right>
      <top/>
      <bottom style="medium">
        <color rgb="FFECEEEF"/>
      </bottom>
      <diagonal/>
    </border>
    <border>
      <left style="medium">
        <color rgb="FFECEEEF"/>
      </left>
      <right style="medium">
        <color rgb="FFECEEEF"/>
      </right>
      <top/>
      <bottom style="medium">
        <color rgb="FFECEEEF"/>
      </bottom>
      <diagonal/>
    </border>
    <border>
      <left style="medium">
        <color rgb="FFECEEEF"/>
      </left>
      <right/>
      <top/>
      <bottom style="medium">
        <color rgb="FFECEEEF"/>
      </bottom>
      <diagonal/>
    </border>
    <border>
      <left/>
      <right style="medium">
        <color rgb="FFECEEEF"/>
      </right>
      <top style="medium">
        <color rgb="FFCCCCCC"/>
      </top>
      <bottom/>
      <diagonal/>
    </border>
    <border>
      <left style="medium">
        <color rgb="FFECEEEF"/>
      </left>
      <right style="medium">
        <color rgb="FFECEEEF"/>
      </right>
      <top style="medium">
        <color rgb="FFCCCCCC"/>
      </top>
      <bottom/>
      <diagonal/>
    </border>
    <border>
      <left style="medium">
        <color rgb="FFECEEEF"/>
      </left>
      <right/>
      <top style="medium">
        <color rgb="FFCCCCCC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66">
    <xf numFmtId="0" fontId="0" fillId="0" borderId="0" xfId="0"/>
    <xf numFmtId="21" fontId="0" fillId="0" borderId="0" xfId="0" applyNumberFormat="1"/>
    <xf numFmtId="1" fontId="0" fillId="0" borderId="0" xfId="0" applyNumberFormat="1"/>
    <xf numFmtId="0" fontId="0" fillId="3" borderId="0" xfId="0" applyFill="1"/>
    <xf numFmtId="21" fontId="0" fillId="3" borderId="0" xfId="0" applyNumberFormat="1" applyFill="1"/>
    <xf numFmtId="1" fontId="0" fillId="3" borderId="0" xfId="0" applyNumberFormat="1" applyFill="1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0" fontId="1" fillId="2" borderId="3" xfId="0" applyFont="1" applyFill="1" applyBorder="1"/>
    <xf numFmtId="0" fontId="3" fillId="5" borderId="8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horizontal="left" vertical="top" wrapText="1"/>
    </xf>
    <xf numFmtId="0" fontId="3" fillId="5" borderId="14" xfId="0" applyFont="1" applyFill="1" applyBorder="1" applyAlignment="1">
      <alignment horizontal="left" vertical="top" wrapText="1"/>
    </xf>
    <xf numFmtId="0" fontId="3" fillId="5" borderId="15" xfId="0" applyFont="1" applyFill="1" applyBorder="1" applyAlignment="1">
      <alignment horizontal="left" vertical="top" wrapText="1"/>
    </xf>
    <xf numFmtId="1" fontId="3" fillId="5" borderId="14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21" fontId="4" fillId="0" borderId="7" xfId="0" applyNumberFormat="1" applyFont="1" applyBorder="1" applyAlignment="1">
      <alignment vertical="top" wrapText="1"/>
    </xf>
    <xf numFmtId="1" fontId="4" fillId="0" borderId="7" xfId="0" applyNumberFormat="1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21" fontId="4" fillId="0" borderId="8" xfId="0" applyNumberFormat="1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21" fontId="6" fillId="0" borderId="7" xfId="0" applyNumberFormat="1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21" fontId="4" fillId="0" borderId="17" xfId="0" applyNumberFormat="1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1" fontId="3" fillId="5" borderId="8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21" fontId="9" fillId="0" borderId="7" xfId="0" applyNumberFormat="1" applyFont="1" applyBorder="1" applyAlignment="1">
      <alignment horizontal="left" vertical="top" wrapText="1"/>
    </xf>
    <xf numFmtId="1" fontId="9" fillId="0" borderId="7" xfId="0" applyNumberFormat="1" applyFont="1" applyBorder="1" applyAlignment="1">
      <alignment horizontal="left" vertical="top" wrapText="1"/>
    </xf>
    <xf numFmtId="0" fontId="10" fillId="4" borderId="4" xfId="0" applyFont="1" applyFill="1" applyBorder="1" applyAlignment="1">
      <alignment horizontal="left" vertical="top" wrapText="1"/>
    </xf>
    <xf numFmtId="0" fontId="10" fillId="4" borderId="5" xfId="0" applyFont="1" applyFill="1" applyBorder="1" applyAlignment="1">
      <alignment horizontal="left" vertical="top" wrapText="1"/>
    </xf>
    <xf numFmtId="21" fontId="10" fillId="4" borderId="5" xfId="0" applyNumberFormat="1" applyFont="1" applyFill="1" applyBorder="1" applyAlignment="1">
      <alignment horizontal="left" vertical="top" wrapText="1"/>
    </xf>
    <xf numFmtId="1" fontId="10" fillId="4" borderId="5" xfId="0" applyNumberFormat="1" applyFont="1" applyFill="1" applyBorder="1" applyAlignment="1">
      <alignment horizontal="left" vertical="top" wrapText="1"/>
    </xf>
    <xf numFmtId="0" fontId="10" fillId="4" borderId="6" xfId="0" applyFont="1" applyFill="1" applyBorder="1" applyAlignment="1">
      <alignment horizontal="left" vertical="top" wrapText="1"/>
    </xf>
    <xf numFmtId="0" fontId="2" fillId="0" borderId="0" xfId="0" applyFont="1"/>
    <xf numFmtId="1" fontId="12" fillId="0" borderId="0" xfId="0" applyNumberFormat="1" applyFont="1"/>
    <xf numFmtId="0" fontId="3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21" fontId="10" fillId="0" borderId="0" xfId="0" applyNumberFormat="1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 wrapText="1"/>
    </xf>
    <xf numFmtId="9" fontId="0" fillId="0" borderId="0" xfId="1" applyFont="1"/>
    <xf numFmtId="9" fontId="0" fillId="0" borderId="6" xfId="1" applyFont="1" applyFill="1" applyBorder="1"/>
    <xf numFmtId="9" fontId="0" fillId="0" borderId="0" xfId="1" applyFont="1" applyFill="1" applyBorder="1"/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21" fontId="4" fillId="0" borderId="0" xfId="0" applyNumberFormat="1" applyFont="1" applyAlignment="1">
      <alignment vertical="top" wrapText="1"/>
    </xf>
    <xf numFmtId="21" fontId="14" fillId="0" borderId="0" xfId="0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0" fontId="0" fillId="0" borderId="0" xfId="0" applyFill="1"/>
    <xf numFmtId="21" fontId="0" fillId="0" borderId="0" xfId="0" applyNumberFormat="1" applyFill="1"/>
    <xf numFmtId="1" fontId="0" fillId="0" borderId="0" xfId="0" applyNumberFormat="1" applyFill="1"/>
    <xf numFmtId="9" fontId="0" fillId="0" borderId="6" xfId="1" applyNumberFormat="1" applyFont="1" applyFill="1" applyBorder="1"/>
  </cellXfs>
  <cellStyles count="2">
    <cellStyle name="Normal" xfId="0" builtinId="0"/>
    <cellStyle name="Percent" xfId="1" builtinId="5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/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26" formatCode="h:mm:ss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rgb="FFECEEEF"/>
        </right>
        <top style="medium">
          <color rgb="FFCCCCCC"/>
        </top>
        <bottom style="medium">
          <color rgb="FFECEEEF"/>
        </bottom>
      </border>
    </dxf>
    <dxf>
      <border outline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ECEEE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ECEEEF"/>
        </left>
        <right style="medium">
          <color rgb="FFECEEEF"/>
        </right>
        <top/>
        <bottom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numFmt numFmtId="26" formatCode="h:mm:ss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" formatCode="0"/>
    </dxf>
    <dxf>
      <numFmt numFmtId="26" formatCode="h:mm:ss"/>
    </dxf>
    <dxf>
      <numFmt numFmtId="1" formatCode="0"/>
    </dxf>
    <dxf>
      <numFmt numFmtId="26" formatCode="h:mm:ss"/>
    </dxf>
    <dxf>
      <numFmt numFmtId="1" formatCode="0"/>
    </dxf>
    <dxf>
      <numFmt numFmtId="26" formatCode="h:mm:ss"/>
    </dxf>
    <dxf>
      <numFmt numFmtId="1" formatCode="0"/>
    </dxf>
    <dxf>
      <numFmt numFmtId="26" formatCode="h:mm:ss"/>
    </dxf>
    <dxf>
      <numFmt numFmtId="1" formatCode="0"/>
    </dxf>
    <dxf>
      <numFmt numFmtId="26" formatCode="h:mm:ss"/>
    </dxf>
    <dxf>
      <numFmt numFmtId="1" formatCode="0"/>
    </dxf>
    <dxf>
      <numFmt numFmtId="26" formatCode="h:mm:ss"/>
    </dxf>
    <dxf>
      <numFmt numFmtId="26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026B9-F2E7-4C47-8443-59EFBC3A5458}" name="Table1" displayName="Table1" ref="B2:X150" totalsRowShown="0">
  <autoFilter ref="B2:X150" xr:uid="{419026B9-F2E7-4C47-8443-59EFBC3A5458}"/>
  <sortState xmlns:xlrd2="http://schemas.microsoft.com/office/spreadsheetml/2017/richdata2" ref="B3:X150">
    <sortCondition ref="L2:L150"/>
  </sortState>
  <tableColumns count="23">
    <tableColumn id="1" xr3:uid="{DBB28A51-49E8-41C2-820D-C57AA08D7393}" name="Bib"/>
    <tableColumn id="2" xr3:uid="{A1911B80-F3F7-47B8-B321-B578F46A65E4}" name="Name"/>
    <tableColumn id="3" xr3:uid="{C08561EE-0601-4DC2-976B-009575559C29}" name="Team Name"/>
    <tableColumn id="4" xr3:uid="{07E037B3-53B9-4B75-9C2C-7C5996475C43}" name="City"/>
    <tableColumn id="5" xr3:uid="{7363E419-3CB5-448F-B6E9-0868BA1ECD29}" name="Start Time" dataDxfId="65"/>
    <tableColumn id="6" xr3:uid="{C66168DE-6432-448D-A0F0-DD5D998F40AE}" name="Swim" dataDxfId="64"/>
    <tableColumn id="7" xr3:uid="{814CF9BB-D455-45D3-B8F5-B669760E032E}" name="Swim Rank" dataDxfId="63"/>
    <tableColumn id="8" xr3:uid="{5D1F4521-1307-4BF9-8D37-38ADC45B04F6}" name="T1" dataDxfId="62"/>
    <tableColumn id="9" xr3:uid="{5E3F8D1A-E675-4258-ABF8-78DF02D0AA24}" name="T1 Rank" dataDxfId="61"/>
    <tableColumn id="10" xr3:uid="{38786EE6-A59F-4FD7-8A5B-785745443B01}" name="Bike" dataDxfId="60"/>
    <tableColumn id="11" xr3:uid="{6FC339E2-CBCB-4691-AEEA-652C8387FDA9}" name="Bike Rank" dataDxfId="59"/>
    <tableColumn id="12" xr3:uid="{1378F47A-7525-40C5-A591-51AA6A15C719}" name="T2" dataDxfId="58"/>
    <tableColumn id="13" xr3:uid="{521A8F63-D951-4970-9AEA-C2150B88AB1D}" name="T2 Rank" dataDxfId="57"/>
    <tableColumn id="14" xr3:uid="{D353AF6C-D203-48C6-8F02-B5BA604EB2AD}" name="Run" dataDxfId="56"/>
    <tableColumn id="15" xr3:uid="{1EA6A7F9-2B73-47AD-AFF9-923E5CB67320}" name="Run Rank" dataDxfId="55"/>
    <tableColumn id="16" xr3:uid="{7AB3D8C2-A100-4ED4-917A-C27D3A3298FA}" name="Chip Elapsed" dataDxfId="54"/>
    <tableColumn id="17" xr3:uid="{BB14A8AD-9B24-4CAE-A430-2283EFA1345C}" name="Overall Rank" dataDxfId="53"/>
    <tableColumn id="18" xr3:uid="{8E52FD3F-2DA0-4414-903F-94D9AB2713EF}" name="Div Place"/>
    <tableColumn id="19" xr3:uid="{566A5AB5-CED7-4553-AF03-FAD3AB8C8F6D}" name="Age"/>
    <tableColumn id="20" xr3:uid="{A4825AD4-1294-45F7-97FE-900FCA10558C}" name="Age Place"/>
    <tableColumn id="21" xr3:uid="{71A7EF50-B449-4EB6-85C3-07530F47D8E8}" name="Gender"/>
    <tableColumn id="22" xr3:uid="{F1900EB3-41D9-45B6-AA0F-D78F37244E7E}" name="Gender Place"/>
    <tableColumn id="23" xr3:uid="{364908D4-08A0-4A47-BBB3-DA8E973CCB84}" name="Gender %" dataDxfId="52">
      <calculatedColumnFormula>Table1[[#This Row],[Gender Place]]/$Z$2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5BA677-30DC-4DCE-B478-20E56FA1B151}" name="Table2" displayName="Table2" ref="B2:X14" totalsRowShown="0" headerRowDxfId="51" dataDxfId="49" headerRowBorderDxfId="50" tableBorderDxfId="48">
  <autoFilter ref="B2:X14" xr:uid="{C65BA677-30DC-4DCE-B478-20E56FA1B151}"/>
  <sortState xmlns:xlrd2="http://schemas.microsoft.com/office/spreadsheetml/2017/richdata2" ref="B3:X14">
    <sortCondition ref="J2:J14"/>
  </sortState>
  <tableColumns count="23">
    <tableColumn id="1" xr3:uid="{89F33919-85A1-4B28-B31C-E6364F5C547E}" name="Bib" dataDxfId="47"/>
    <tableColumn id="2" xr3:uid="{BDF7D96A-D132-497D-8F5D-0F48577510A5}" name="Name" dataDxfId="46"/>
    <tableColumn id="3" xr3:uid="{46540114-F732-4BEB-A300-856594F4EF0B}" name="Team Name" dataDxfId="45"/>
    <tableColumn id="4" xr3:uid="{0CBF8165-059E-4FA9-8B19-4BDBB83F17F7}" name="City" dataDxfId="44"/>
    <tableColumn id="5" xr3:uid="{4AACC49B-AA1D-4908-864C-222B0575FC71}" name="Start Time" dataDxfId="43"/>
    <tableColumn id="6" xr3:uid="{DCD94EFC-9756-474A-82D7-123814BF81BF}" name="Swim" dataDxfId="42"/>
    <tableColumn id="7" xr3:uid="{BDB47E70-77FC-4F02-BB88-2FE10772758F}" name="Swim Rank" dataDxfId="41"/>
    <tableColumn id="8" xr3:uid="{5B9FB72A-BA5A-4B8C-A037-1923055CEB05}" name="T1" dataDxfId="40"/>
    <tableColumn id="9" xr3:uid="{7B75F20D-9B0C-4DF0-BF3B-A11D229CDBAA}" name="T1 Rank" dataDxfId="39"/>
    <tableColumn id="10" xr3:uid="{196EEB0B-15BB-4186-8779-3B75277B8CBC}" name="Bike" dataDxfId="38"/>
    <tableColumn id="11" xr3:uid="{B4370E7A-F3FA-4D0E-A11C-CF933B07A31C}" name="Bike Rank" dataDxfId="37"/>
    <tableColumn id="12" xr3:uid="{5E45BF8F-5C1C-41D3-9510-934F81666F39}" name="T2" dataDxfId="36"/>
    <tableColumn id="13" xr3:uid="{6F90FD49-F58D-45C2-BEA2-B1204496B94E}" name="T2 Rank" dataDxfId="35"/>
    <tableColumn id="14" xr3:uid="{90633783-C3EE-4655-87DC-0AEDA95C8DAF}" name="Run" dataDxfId="34"/>
    <tableColumn id="15" xr3:uid="{08E26F6D-8353-4813-8D75-85BDEB45B719}" name="Run Rank" dataDxfId="33"/>
    <tableColumn id="16" xr3:uid="{C4F14F24-45CF-4FAB-AC5C-DFDD8481F22B}" name="Chip Elapsed" dataDxfId="32"/>
    <tableColumn id="17" xr3:uid="{D7C2AE2D-747C-4B94-A977-AE358DE4D3F8}" name="Overall Rank" dataDxfId="31"/>
    <tableColumn id="18" xr3:uid="{F07184E3-1577-418F-A750-BF02E56D8B78}" name="Div Place" dataDxfId="30"/>
    <tableColumn id="19" xr3:uid="{A50CE075-8F95-471E-884F-2F97961DAFFB}" name="Age" dataDxfId="29"/>
    <tableColumn id="20" xr3:uid="{FF48FA9E-F831-4062-BA98-91BE1C4B4CBA}" name="Age Place" dataDxfId="28"/>
    <tableColumn id="21" xr3:uid="{C0ADF5B2-DB40-475C-9ACB-5A0763F5D9F9}" name="Gender" dataDxfId="27"/>
    <tableColumn id="22" xr3:uid="{F76E7C5B-6B61-4AE5-81AF-95027D25C6F1}" name="Gender Place" dataDxfId="26"/>
    <tableColumn id="23" xr3:uid="{AD516902-E776-44F4-AA49-01FF4D60A168}" name="Gender %" dataDxfId="25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7210BF-155E-4F6D-B20C-B6E8A44E9DD0}" name="Table3" displayName="Table3" ref="B2:V202" totalsRowShown="0" headerRowDxfId="24" dataDxfId="22" headerRowBorderDxfId="23" tableBorderDxfId="21">
  <autoFilter ref="B2:V202" xr:uid="{637210BF-155E-4F6D-B20C-B6E8A44E9DD0}"/>
  <sortState xmlns:xlrd2="http://schemas.microsoft.com/office/spreadsheetml/2017/richdata2" ref="B3:V202">
    <sortCondition ref="P2:P202"/>
  </sortState>
  <tableColumns count="21">
    <tableColumn id="1" xr3:uid="{CC81291F-8002-4477-B063-D0B70CF21078}" name="Bib" dataDxfId="20"/>
    <tableColumn id="2" xr3:uid="{D87DC08C-0160-426C-A0F4-E5F7C7BD2907}" name="Name" dataDxfId="19"/>
    <tableColumn id="4" xr3:uid="{CC5BEE3D-AFA3-4168-A4ED-8F99191EE775}" name="City" dataDxfId="18"/>
    <tableColumn id="5" xr3:uid="{B015CC6D-6083-445E-BCC2-10280FE731C1}" name="Start Time" dataDxfId="17"/>
    <tableColumn id="6" xr3:uid="{359E7D72-DE29-4CE1-9ABC-59575A854A9F}" name="Swim" dataDxfId="16"/>
    <tableColumn id="17" xr3:uid="{E7AABAF2-2F25-4729-9546-37581328FE73}" name="Swim Rank" dataDxfId="15"/>
    <tableColumn id="7" xr3:uid="{9BD8D051-C7A3-49DA-B2EA-7B1FC1972A21}" name="T1" dataDxfId="14"/>
    <tableColumn id="18" xr3:uid="{53EAA3F9-5DBF-49F7-AD82-D68313D7AEF2}" name="T1 Rank" dataDxfId="13"/>
    <tableColumn id="8" xr3:uid="{225CAD0A-2865-4A19-ABD4-EC740F2EF5D7}" name="Bike" dataDxfId="12"/>
    <tableColumn id="19" xr3:uid="{FE109F33-B660-44F4-9EE8-2D5645387E06}" name="Column2" dataDxfId="11"/>
    <tableColumn id="9" xr3:uid="{CC4A0CD3-9D06-48BC-BCC3-857100D4B5E5}" name="T2" dataDxfId="10"/>
    <tableColumn id="20" xr3:uid="{A8F01891-2034-4DA6-BAD8-90E5D29FFF78}" name="T3" dataDxfId="9"/>
    <tableColumn id="10" xr3:uid="{40A38144-B0A4-476C-8700-CCBAAECC3C26}" name="Run" dataDxfId="8"/>
    <tableColumn id="21" xr3:uid="{24CD6D81-6AA0-4D29-8226-F9801E35101F}" name="Column3" dataDxfId="7"/>
    <tableColumn id="11" xr3:uid="{2741D51B-CFA8-4978-918C-D49C7EDC2970}" name="Chip Elapsed" dataDxfId="6"/>
    <tableColumn id="22" xr3:uid="{262C0F2B-65DD-4F36-B0FA-BAABFBD0530C}" name="Column4" dataDxfId="5"/>
    <tableColumn id="12" xr3:uid="{72D6F720-C63B-46F3-BEF3-C9B9CA49EC57}" name="Div Place" dataDxfId="4"/>
    <tableColumn id="13" xr3:uid="{37362BB5-21CD-4C84-A583-51EC1E50425E}" name="Age" dataDxfId="3"/>
    <tableColumn id="14" xr3:uid="{1F9D6FCD-636A-4E47-A3AE-7BD3BA9A6299}" name="Age Place" dataDxfId="2"/>
    <tableColumn id="15" xr3:uid="{176ED6E4-68F7-4615-8201-86A5109BD25A}" name="Gender" dataDxfId="1"/>
    <tableColumn id="16" xr3:uid="{46A29F0F-4F0C-4B0A-B060-2F694801CC2F}" name="Gender Plac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DE48-96F1-412D-A8CC-ECD0E8E49294}">
  <dimension ref="B2:Z150"/>
  <sheetViews>
    <sheetView tabSelected="1" zoomScale="84" zoomScaleNormal="77" workbookViewId="0">
      <selection activeCell="U29" sqref="U29"/>
    </sheetView>
  </sheetViews>
  <sheetFormatPr defaultRowHeight="15" x14ac:dyDescent="0.2"/>
  <cols>
    <col min="3" max="3" width="26.90234375" bestFit="1" customWidth="1"/>
    <col min="4" max="4" width="12.77734375" customWidth="1"/>
    <col min="5" max="5" width="19.63671875" customWidth="1"/>
    <col min="6" max="6" width="11.43359375" customWidth="1"/>
    <col min="8" max="8" width="11.97265625" style="2" customWidth="1"/>
    <col min="10" max="10" width="9.28125" style="2" customWidth="1"/>
    <col min="12" max="12" width="11.02734375" style="2" customWidth="1"/>
    <col min="14" max="14" width="9.28125" style="2" customWidth="1"/>
    <col min="16" max="16" width="10.4921875" style="2" customWidth="1"/>
    <col min="17" max="17" width="13.71875" customWidth="1"/>
    <col min="18" max="18" width="13.31640625" style="2" customWidth="1"/>
    <col min="19" max="19" width="10.4921875" customWidth="1"/>
    <col min="21" max="21" width="10.89453125" customWidth="1"/>
    <col min="22" max="22" width="9.01171875" customWidth="1"/>
    <col min="23" max="23" width="13.98828125" customWidth="1"/>
  </cols>
  <sheetData>
    <row r="2" spans="2:26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 t="s">
        <v>254</v>
      </c>
      <c r="I2" t="s">
        <v>6</v>
      </c>
      <c r="J2" s="2" t="s">
        <v>253</v>
      </c>
      <c r="K2" t="s">
        <v>7</v>
      </c>
      <c r="L2" s="2" t="s">
        <v>252</v>
      </c>
      <c r="M2" t="s">
        <v>8</v>
      </c>
      <c r="N2" s="2" t="s">
        <v>251</v>
      </c>
      <c r="O2" t="s">
        <v>9</v>
      </c>
      <c r="P2" s="2" t="s">
        <v>250</v>
      </c>
      <c r="Q2" t="s">
        <v>10</v>
      </c>
      <c r="R2" s="2" t="s">
        <v>249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483</v>
      </c>
      <c r="Z2">
        <f>COUNTIF(V:V, "F")</f>
        <v>63</v>
      </c>
    </row>
    <row r="3" spans="2:26" x14ac:dyDescent="0.2">
      <c r="B3">
        <v>287</v>
      </c>
      <c r="C3" t="s">
        <v>248</v>
      </c>
      <c r="D3" t="s">
        <v>42</v>
      </c>
      <c r="E3" t="s">
        <v>43</v>
      </c>
      <c r="F3" s="1">
        <v>0.45833333333333331</v>
      </c>
      <c r="G3" s="1">
        <v>1.1574074074074073E-2</v>
      </c>
      <c r="H3" s="2">
        <v>44</v>
      </c>
      <c r="I3" s="1">
        <v>1.8865740740740742E-3</v>
      </c>
      <c r="J3" s="2">
        <v>75</v>
      </c>
      <c r="K3" s="1">
        <v>2.011574074074074E-2</v>
      </c>
      <c r="L3" s="2">
        <v>1</v>
      </c>
      <c r="M3" s="1">
        <v>6.3657407407407413E-4</v>
      </c>
      <c r="N3" s="2">
        <v>1</v>
      </c>
      <c r="O3" s="1">
        <v>1.2303240740740741E-2</v>
      </c>
      <c r="P3" s="2">
        <v>5</v>
      </c>
      <c r="Q3" t="s">
        <v>244</v>
      </c>
      <c r="R3" s="2">
        <v>150</v>
      </c>
      <c r="S3">
        <v>0</v>
      </c>
      <c r="T3">
        <v>22</v>
      </c>
      <c r="U3">
        <v>0</v>
      </c>
      <c r="V3" t="s">
        <v>19</v>
      </c>
      <c r="W3">
        <v>0</v>
      </c>
      <c r="X3" s="54"/>
      <c r="Z3">
        <f>COUNTIF(V:V, "M")</f>
        <v>85</v>
      </c>
    </row>
    <row r="4" spans="2:26" x14ac:dyDescent="0.2">
      <c r="B4">
        <v>391</v>
      </c>
      <c r="C4" t="s">
        <v>20</v>
      </c>
      <c r="D4" t="s">
        <v>21</v>
      </c>
      <c r="E4" t="s">
        <v>22</v>
      </c>
      <c r="F4" s="1">
        <v>0.45833333333333331</v>
      </c>
      <c r="G4" s="1">
        <v>8.7500000000000008E-3</v>
      </c>
      <c r="H4" s="2">
        <v>4</v>
      </c>
      <c r="I4" s="1">
        <v>8.9120370370370373E-4</v>
      </c>
      <c r="J4" s="2">
        <v>2</v>
      </c>
      <c r="K4" s="1">
        <v>2.0868055555555556E-2</v>
      </c>
      <c r="L4" s="2">
        <v>2</v>
      </c>
      <c r="M4" s="1">
        <v>9.1435185185185185E-4</v>
      </c>
      <c r="N4" s="2">
        <v>19</v>
      </c>
      <c r="O4" s="1">
        <v>1.3414351851851853E-2</v>
      </c>
      <c r="P4" s="2">
        <v>26</v>
      </c>
      <c r="Q4" s="1">
        <v>4.4872685185185182E-2</v>
      </c>
      <c r="R4" s="2">
        <v>2</v>
      </c>
      <c r="S4">
        <v>2</v>
      </c>
      <c r="T4">
        <v>19</v>
      </c>
      <c r="U4">
        <v>2</v>
      </c>
      <c r="V4" t="s">
        <v>19</v>
      </c>
      <c r="W4">
        <v>2</v>
      </c>
      <c r="X4" s="54">
        <f>Table1[[#This Row],[Gender Place]]/$Z$3</f>
        <v>2.3529411764705882E-2</v>
      </c>
    </row>
    <row r="5" spans="2:26" x14ac:dyDescent="0.2">
      <c r="B5">
        <v>374</v>
      </c>
      <c r="C5" t="s">
        <v>63</v>
      </c>
      <c r="E5" t="s">
        <v>64</v>
      </c>
      <c r="F5" s="1">
        <v>0.45833333333333331</v>
      </c>
      <c r="G5" s="1">
        <v>1.2523148148148148E-2</v>
      </c>
      <c r="H5" s="2">
        <v>66</v>
      </c>
      <c r="I5" s="1">
        <v>2.1990740740740742E-3</v>
      </c>
      <c r="J5" s="2">
        <v>100</v>
      </c>
      <c r="K5" s="1">
        <v>2.1226851851851851E-2</v>
      </c>
      <c r="L5" s="2">
        <v>3</v>
      </c>
      <c r="M5" s="1">
        <v>1.0763888888888889E-3</v>
      </c>
      <c r="N5" s="2">
        <v>47</v>
      </c>
      <c r="O5" s="1">
        <v>1.4999999999999999E-2</v>
      </c>
      <c r="P5" s="2">
        <v>55</v>
      </c>
      <c r="Q5" s="1">
        <v>5.2060185185185189E-2</v>
      </c>
      <c r="R5" s="2">
        <v>21</v>
      </c>
      <c r="S5">
        <v>21</v>
      </c>
      <c r="T5">
        <v>20</v>
      </c>
      <c r="U5">
        <v>15</v>
      </c>
      <c r="V5" t="s">
        <v>19</v>
      </c>
      <c r="W5">
        <v>17</v>
      </c>
      <c r="X5" s="54">
        <f>Table1[[#This Row],[Gender Place]]/$Z$3</f>
        <v>0.2</v>
      </c>
    </row>
    <row r="6" spans="2:26" x14ac:dyDescent="0.2">
      <c r="B6">
        <v>232</v>
      </c>
      <c r="C6" t="s">
        <v>28</v>
      </c>
      <c r="D6" t="s">
        <v>29</v>
      </c>
      <c r="E6" t="s">
        <v>27</v>
      </c>
      <c r="F6" s="1">
        <v>0.45833333333333331</v>
      </c>
      <c r="G6" s="1">
        <v>1.0810185185185185E-2</v>
      </c>
      <c r="H6" s="2">
        <v>26</v>
      </c>
      <c r="I6" s="1">
        <v>2.8356481481481483E-3</v>
      </c>
      <c r="J6" s="2">
        <v>130</v>
      </c>
      <c r="K6" s="1">
        <v>2.1412037037037038E-2</v>
      </c>
      <c r="L6" s="2">
        <v>4</v>
      </c>
      <c r="M6" s="1">
        <v>1.0069444444444444E-3</v>
      </c>
      <c r="N6" s="2">
        <v>35</v>
      </c>
      <c r="O6" s="1">
        <v>1.1863425925925927E-2</v>
      </c>
      <c r="P6" s="2">
        <v>1</v>
      </c>
      <c r="Q6" s="1">
        <v>4.7962962962962964E-2</v>
      </c>
      <c r="R6" s="2">
        <v>5</v>
      </c>
      <c r="S6">
        <v>5</v>
      </c>
      <c r="T6">
        <v>20</v>
      </c>
      <c r="U6">
        <v>4</v>
      </c>
      <c r="V6" t="s">
        <v>19</v>
      </c>
      <c r="W6">
        <v>5</v>
      </c>
      <c r="X6" s="54">
        <f>Table1[[#This Row],[Gender Place]]/$Z$3</f>
        <v>5.8823529411764705E-2</v>
      </c>
    </row>
    <row r="7" spans="2:26" x14ac:dyDescent="0.2">
      <c r="B7">
        <v>299</v>
      </c>
      <c r="C7" t="s">
        <v>16</v>
      </c>
      <c r="D7" t="s">
        <v>17</v>
      </c>
      <c r="E7" t="s">
        <v>18</v>
      </c>
      <c r="F7" s="1">
        <v>0.45833333333333331</v>
      </c>
      <c r="G7" s="1">
        <v>8.0208333333333329E-3</v>
      </c>
      <c r="H7" s="2">
        <v>1</v>
      </c>
      <c r="I7" s="1">
        <v>7.291666666666667E-4</v>
      </c>
      <c r="J7" s="2">
        <v>1</v>
      </c>
      <c r="K7" s="1">
        <v>2.150462962962963E-2</v>
      </c>
      <c r="L7" s="2">
        <v>5</v>
      </c>
      <c r="M7" s="1">
        <v>7.6388888888888893E-4</v>
      </c>
      <c r="N7" s="2">
        <v>5</v>
      </c>
      <c r="O7" s="1">
        <v>1.2361111111111111E-2</v>
      </c>
      <c r="P7" s="2">
        <v>7</v>
      </c>
      <c r="Q7" s="1">
        <v>4.3402777777777776E-2</v>
      </c>
      <c r="R7" s="2">
        <v>1</v>
      </c>
      <c r="S7">
        <v>1</v>
      </c>
      <c r="T7">
        <v>23</v>
      </c>
      <c r="U7">
        <v>1</v>
      </c>
      <c r="V7" t="s">
        <v>19</v>
      </c>
      <c r="W7">
        <v>1</v>
      </c>
      <c r="X7" s="54">
        <f>Table1[[#This Row],[Gender Place]]/$Z$3</f>
        <v>1.1764705882352941E-2</v>
      </c>
    </row>
    <row r="8" spans="2:26" x14ac:dyDescent="0.2">
      <c r="B8" s="3">
        <v>284</v>
      </c>
      <c r="C8" s="3" t="s">
        <v>30</v>
      </c>
      <c r="D8" s="3" t="s">
        <v>31</v>
      </c>
      <c r="E8" s="3" t="s">
        <v>32</v>
      </c>
      <c r="F8" s="4">
        <v>0.45833333333333331</v>
      </c>
      <c r="G8" s="4">
        <v>1.0266203703703704E-2</v>
      </c>
      <c r="H8" s="5">
        <v>16</v>
      </c>
      <c r="I8" s="4">
        <v>2.8009259259259259E-3</v>
      </c>
      <c r="J8" s="5">
        <v>127</v>
      </c>
      <c r="K8" s="4">
        <v>2.1585648148148149E-2</v>
      </c>
      <c r="L8" s="5">
        <v>6</v>
      </c>
      <c r="M8" s="4">
        <v>6.8287037037037036E-4</v>
      </c>
      <c r="N8" s="5">
        <v>2</v>
      </c>
      <c r="O8" s="4">
        <v>1.2719907407407407E-2</v>
      </c>
      <c r="P8" s="5">
        <v>13</v>
      </c>
      <c r="Q8" s="4">
        <v>4.8078703703703707E-2</v>
      </c>
      <c r="R8" s="5">
        <v>6</v>
      </c>
      <c r="S8" s="3">
        <v>6</v>
      </c>
      <c r="T8" s="3">
        <v>22</v>
      </c>
      <c r="U8" s="3">
        <v>5</v>
      </c>
      <c r="V8" s="3" t="s">
        <v>19</v>
      </c>
      <c r="W8" s="3">
        <v>6</v>
      </c>
      <c r="X8" s="54">
        <f>Table1[[#This Row],[Gender Place]]/$Z$3</f>
        <v>7.0588235294117646E-2</v>
      </c>
    </row>
    <row r="9" spans="2:26" x14ac:dyDescent="0.2">
      <c r="B9">
        <v>359</v>
      </c>
      <c r="C9" t="s">
        <v>23</v>
      </c>
      <c r="D9" t="s">
        <v>24</v>
      </c>
      <c r="E9" t="s">
        <v>25</v>
      </c>
      <c r="F9" s="1">
        <v>0.45833333333333331</v>
      </c>
      <c r="G9" s="1">
        <v>1.0532407407407407E-2</v>
      </c>
      <c r="H9" s="2">
        <v>21</v>
      </c>
      <c r="I9" s="1">
        <v>1.0879629629629629E-3</v>
      </c>
      <c r="J9" s="2">
        <v>9</v>
      </c>
      <c r="K9" s="1">
        <v>2.2141203703703705E-2</v>
      </c>
      <c r="L9" s="2">
        <v>7</v>
      </c>
      <c r="M9" s="1">
        <v>8.7962962962962962E-4</v>
      </c>
      <c r="N9" s="2">
        <v>15</v>
      </c>
      <c r="O9" s="1">
        <v>1.2175925925925925E-2</v>
      </c>
      <c r="P9" s="2">
        <v>3</v>
      </c>
      <c r="Q9" s="1">
        <v>4.6840277777777779E-2</v>
      </c>
      <c r="R9" s="2">
        <v>3</v>
      </c>
      <c r="S9">
        <v>3</v>
      </c>
      <c r="T9">
        <v>18</v>
      </c>
      <c r="U9">
        <v>3</v>
      </c>
      <c r="V9" t="s">
        <v>19</v>
      </c>
      <c r="W9">
        <v>3</v>
      </c>
      <c r="X9" s="54">
        <f>Table1[[#This Row],[Gender Place]]/$Z$3</f>
        <v>3.5294117647058823E-2</v>
      </c>
    </row>
    <row r="10" spans="2:26" x14ac:dyDescent="0.2">
      <c r="B10">
        <v>296</v>
      </c>
      <c r="C10" t="s">
        <v>53</v>
      </c>
      <c r="D10" t="s">
        <v>17</v>
      </c>
      <c r="E10" t="s">
        <v>54</v>
      </c>
      <c r="F10" s="1">
        <v>0.45833333333333331</v>
      </c>
      <c r="G10" s="1">
        <v>1.2777777777777779E-2</v>
      </c>
      <c r="H10" s="2">
        <v>79</v>
      </c>
      <c r="I10" s="1">
        <v>1.4004629629629629E-3</v>
      </c>
      <c r="J10" s="2">
        <v>25</v>
      </c>
      <c r="K10" s="1">
        <v>2.2303240740740742E-2</v>
      </c>
      <c r="L10" s="2">
        <v>8</v>
      </c>
      <c r="M10" s="1">
        <v>9.6064814814814819E-4</v>
      </c>
      <c r="N10" s="2">
        <v>29</v>
      </c>
      <c r="O10" s="1">
        <v>1.34375E-2</v>
      </c>
      <c r="P10" s="2">
        <v>27</v>
      </c>
      <c r="Q10" s="1">
        <v>5.0902777777777776E-2</v>
      </c>
      <c r="R10" s="2">
        <v>17</v>
      </c>
      <c r="S10">
        <v>16</v>
      </c>
      <c r="T10">
        <v>21</v>
      </c>
      <c r="U10">
        <v>11</v>
      </c>
      <c r="V10" t="s">
        <v>19</v>
      </c>
      <c r="W10">
        <v>13</v>
      </c>
      <c r="X10" s="54">
        <f>Table1[[#This Row],[Gender Place]]/$Z$3</f>
        <v>0.15294117647058825</v>
      </c>
    </row>
    <row r="11" spans="2:26" x14ac:dyDescent="0.2">
      <c r="B11">
        <v>369</v>
      </c>
      <c r="C11" t="s">
        <v>26</v>
      </c>
      <c r="E11" t="s">
        <v>27</v>
      </c>
      <c r="F11" s="1">
        <v>0.45833333333333331</v>
      </c>
      <c r="G11" s="1">
        <v>1.0243055555555556E-2</v>
      </c>
      <c r="H11" s="2">
        <v>15</v>
      </c>
      <c r="I11" s="1">
        <v>1.0648148148148149E-3</v>
      </c>
      <c r="J11" s="2">
        <v>8</v>
      </c>
      <c r="K11" s="1">
        <v>2.2395833333333334E-2</v>
      </c>
      <c r="L11" s="2">
        <v>9</v>
      </c>
      <c r="M11" s="1">
        <v>9.9537037037037042E-4</v>
      </c>
      <c r="N11" s="2">
        <v>32</v>
      </c>
      <c r="O11" s="1">
        <v>1.3194444444444444E-2</v>
      </c>
      <c r="P11" s="2">
        <v>23</v>
      </c>
      <c r="Q11" s="1">
        <v>4.791666666666667E-2</v>
      </c>
      <c r="R11" s="2">
        <v>4</v>
      </c>
      <c r="S11">
        <v>4</v>
      </c>
      <c r="T11">
        <v>25</v>
      </c>
      <c r="U11">
        <v>1</v>
      </c>
      <c r="V11" t="s">
        <v>19</v>
      </c>
      <c r="W11">
        <v>4</v>
      </c>
      <c r="X11" s="54">
        <f>Table1[[#This Row],[Gender Place]]/$Z$3</f>
        <v>4.7058823529411764E-2</v>
      </c>
    </row>
    <row r="12" spans="2:26" x14ac:dyDescent="0.2">
      <c r="B12">
        <v>347</v>
      </c>
      <c r="C12" t="s">
        <v>46</v>
      </c>
      <c r="D12" t="s">
        <v>24</v>
      </c>
      <c r="E12" t="s">
        <v>47</v>
      </c>
      <c r="F12" s="1">
        <v>0.45833333333333331</v>
      </c>
      <c r="G12" s="1">
        <v>1.1793981481481482E-2</v>
      </c>
      <c r="H12" s="2">
        <v>50</v>
      </c>
      <c r="I12" s="1">
        <v>1.9791666666666668E-3</v>
      </c>
      <c r="J12" s="2">
        <v>84</v>
      </c>
      <c r="K12" s="1">
        <v>2.2592592592592591E-2</v>
      </c>
      <c r="L12" s="2">
        <v>10</v>
      </c>
      <c r="M12" s="1">
        <v>1.0069444444444444E-3</v>
      </c>
      <c r="N12" s="2">
        <v>36</v>
      </c>
      <c r="O12" s="1">
        <v>1.2303240740740741E-2</v>
      </c>
      <c r="P12" s="2">
        <v>6</v>
      </c>
      <c r="Q12" s="1">
        <v>4.9699074074074076E-2</v>
      </c>
      <c r="R12" s="2">
        <v>12</v>
      </c>
      <c r="S12">
        <v>12</v>
      </c>
      <c r="T12">
        <v>22</v>
      </c>
      <c r="U12">
        <v>8</v>
      </c>
      <c r="V12" t="s">
        <v>19</v>
      </c>
      <c r="W12">
        <v>10</v>
      </c>
      <c r="X12" s="54">
        <f>Table1[[#This Row],[Gender Place]]/$Z$3</f>
        <v>0.11764705882352941</v>
      </c>
    </row>
    <row r="13" spans="2:26" x14ac:dyDescent="0.2">
      <c r="B13">
        <v>246</v>
      </c>
      <c r="C13" t="s">
        <v>39</v>
      </c>
      <c r="D13" t="s">
        <v>40</v>
      </c>
      <c r="E13" t="s">
        <v>40</v>
      </c>
      <c r="F13" s="1">
        <v>0.45833333333333331</v>
      </c>
      <c r="G13" s="1">
        <v>1.1469907407407408E-2</v>
      </c>
      <c r="H13" s="2">
        <v>38</v>
      </c>
      <c r="I13" s="1">
        <v>9.0277777777777774E-4</v>
      </c>
      <c r="J13" s="2">
        <v>3</v>
      </c>
      <c r="K13" s="1">
        <v>2.2615740740740742E-2</v>
      </c>
      <c r="L13" s="2">
        <v>11</v>
      </c>
      <c r="M13" s="1">
        <v>1.5740740740740741E-3</v>
      </c>
      <c r="N13" s="2">
        <v>114</v>
      </c>
      <c r="O13" s="1">
        <v>1.2476851851851852E-2</v>
      </c>
      <c r="P13" s="2">
        <v>9</v>
      </c>
      <c r="Q13" s="1">
        <v>4.9074074074074076E-2</v>
      </c>
      <c r="R13" s="2">
        <v>9</v>
      </c>
      <c r="S13">
        <v>9</v>
      </c>
      <c r="T13">
        <v>26</v>
      </c>
      <c r="U13">
        <v>2</v>
      </c>
      <c r="V13" t="s">
        <v>19</v>
      </c>
      <c r="W13">
        <v>8</v>
      </c>
      <c r="X13" s="54">
        <f>Table1[[#This Row],[Gender Place]]/$Z$3</f>
        <v>9.4117647058823528E-2</v>
      </c>
    </row>
    <row r="14" spans="2:26" x14ac:dyDescent="0.2">
      <c r="B14">
        <v>275</v>
      </c>
      <c r="C14" t="s">
        <v>48</v>
      </c>
      <c r="D14" t="s">
        <v>17</v>
      </c>
      <c r="E14" t="s">
        <v>49</v>
      </c>
      <c r="F14" s="1">
        <v>0.45833333333333331</v>
      </c>
      <c r="G14" s="1">
        <v>1.1793981481481482E-2</v>
      </c>
      <c r="H14" s="2">
        <v>51</v>
      </c>
      <c r="I14" s="1">
        <v>9.4907407407407408E-4</v>
      </c>
      <c r="J14" s="2">
        <v>4</v>
      </c>
      <c r="K14" s="1">
        <v>2.2905092592592591E-2</v>
      </c>
      <c r="L14" s="2">
        <v>12</v>
      </c>
      <c r="M14" s="1">
        <v>8.6805555555555551E-4</v>
      </c>
      <c r="N14" s="2">
        <v>12</v>
      </c>
      <c r="O14" s="1">
        <v>1.3726851851851851E-2</v>
      </c>
      <c r="P14" s="2">
        <v>35</v>
      </c>
      <c r="Q14" s="1">
        <v>5.0277777777777775E-2</v>
      </c>
      <c r="R14" s="2">
        <v>13</v>
      </c>
      <c r="S14">
        <v>13</v>
      </c>
      <c r="T14">
        <v>19</v>
      </c>
      <c r="U14">
        <v>9</v>
      </c>
      <c r="V14" t="s">
        <v>19</v>
      </c>
      <c r="W14">
        <v>11</v>
      </c>
      <c r="X14" s="54">
        <f>Table1[[#This Row],[Gender Place]]/$Z$3</f>
        <v>0.12941176470588237</v>
      </c>
    </row>
    <row r="15" spans="2:26" x14ac:dyDescent="0.2">
      <c r="B15" s="3">
        <v>282</v>
      </c>
      <c r="C15" s="3" t="s">
        <v>168</v>
      </c>
      <c r="D15" s="3" t="s">
        <v>31</v>
      </c>
      <c r="E15" s="3" t="s">
        <v>99</v>
      </c>
      <c r="F15" s="4">
        <v>0.46527777777777779</v>
      </c>
      <c r="G15" s="4">
        <v>1.4594907407407407E-2</v>
      </c>
      <c r="H15" s="5">
        <v>113</v>
      </c>
      <c r="I15" s="4">
        <v>1.8749999999999999E-3</v>
      </c>
      <c r="J15" s="5">
        <v>71</v>
      </c>
      <c r="K15" s="4">
        <v>2.2916666666666665E-2</v>
      </c>
      <c r="L15" s="5">
        <v>13</v>
      </c>
      <c r="M15" s="4">
        <v>1.5625000000000001E-3</v>
      </c>
      <c r="N15" s="5">
        <v>112</v>
      </c>
      <c r="O15" s="4">
        <v>2.1041666666666667E-2</v>
      </c>
      <c r="P15" s="5">
        <v>137</v>
      </c>
      <c r="Q15" s="4">
        <v>6.2002314814814816E-2</v>
      </c>
      <c r="R15" s="5">
        <v>91</v>
      </c>
      <c r="S15" s="3">
        <v>91</v>
      </c>
      <c r="T15" s="3">
        <v>18</v>
      </c>
      <c r="U15" s="3">
        <v>28</v>
      </c>
      <c r="V15" s="3" t="s">
        <v>36</v>
      </c>
      <c r="W15" s="3">
        <v>30</v>
      </c>
      <c r="X15" s="54">
        <f>Table1[[#This Row],[Gender Place]]/$Z$2</f>
        <v>0.47619047619047616</v>
      </c>
    </row>
    <row r="16" spans="2:26" x14ac:dyDescent="0.2">
      <c r="B16">
        <v>362</v>
      </c>
      <c r="C16" t="s">
        <v>37</v>
      </c>
      <c r="D16" t="s">
        <v>21</v>
      </c>
      <c r="E16" t="s">
        <v>38</v>
      </c>
      <c r="F16" s="1">
        <v>0.45833333333333331</v>
      </c>
      <c r="G16" s="1">
        <v>1.1712962962962963E-2</v>
      </c>
      <c r="H16" s="2">
        <v>48</v>
      </c>
      <c r="I16" s="1">
        <v>1.1458333333333333E-3</v>
      </c>
      <c r="J16" s="2">
        <v>10</v>
      </c>
      <c r="K16" s="1">
        <v>2.3078703703703702E-2</v>
      </c>
      <c r="L16" s="2">
        <v>14</v>
      </c>
      <c r="M16" s="1">
        <v>7.6388888888888893E-4</v>
      </c>
      <c r="N16" s="2">
        <v>6</v>
      </c>
      <c r="O16" s="1">
        <v>1.2025462962962963E-2</v>
      </c>
      <c r="P16" s="2">
        <v>2</v>
      </c>
      <c r="Q16" s="1">
        <v>4.8750000000000002E-2</v>
      </c>
      <c r="R16" s="2">
        <v>8</v>
      </c>
      <c r="S16">
        <v>8</v>
      </c>
      <c r="T16">
        <v>19</v>
      </c>
      <c r="U16">
        <v>6</v>
      </c>
      <c r="V16" t="s">
        <v>19</v>
      </c>
      <c r="W16">
        <v>7</v>
      </c>
      <c r="X16" s="54">
        <f>Table1[[#This Row],[Gender Place]]/$Z$3</f>
        <v>8.2352941176470587E-2</v>
      </c>
    </row>
    <row r="17" spans="2:24" x14ac:dyDescent="0.2">
      <c r="B17">
        <v>345</v>
      </c>
      <c r="C17" t="s">
        <v>44</v>
      </c>
      <c r="D17" t="s">
        <v>34</v>
      </c>
      <c r="E17" t="s">
        <v>45</v>
      </c>
      <c r="F17" s="1">
        <v>0.46527777777777779</v>
      </c>
      <c r="G17" s="1">
        <v>9.6874999999999999E-3</v>
      </c>
      <c r="H17" s="2">
        <v>11</v>
      </c>
      <c r="I17" s="1">
        <v>1.4236111111111112E-3</v>
      </c>
      <c r="J17" s="2">
        <v>26</v>
      </c>
      <c r="K17" s="1">
        <v>2.3194444444444445E-2</v>
      </c>
      <c r="L17" s="2">
        <v>15</v>
      </c>
      <c r="M17" s="1">
        <v>8.7962962962962962E-4</v>
      </c>
      <c r="N17" s="2">
        <v>16</v>
      </c>
      <c r="O17" s="1">
        <v>1.4143518518518519E-2</v>
      </c>
      <c r="P17" s="2">
        <v>38</v>
      </c>
      <c r="Q17" s="1">
        <v>4.9351851851851855E-2</v>
      </c>
      <c r="R17" s="2">
        <v>11</v>
      </c>
      <c r="S17">
        <v>11</v>
      </c>
      <c r="T17">
        <v>22</v>
      </c>
      <c r="U17">
        <v>2</v>
      </c>
      <c r="V17" t="s">
        <v>36</v>
      </c>
      <c r="W17">
        <v>2</v>
      </c>
      <c r="X17" s="54">
        <f>Table1[[#This Row],[Gender Place]]/$Z$2</f>
        <v>3.1746031746031744E-2</v>
      </c>
    </row>
    <row r="18" spans="2:24" x14ac:dyDescent="0.2">
      <c r="B18">
        <v>263</v>
      </c>
      <c r="C18" t="s">
        <v>97</v>
      </c>
      <c r="D18" t="s">
        <v>21</v>
      </c>
      <c r="E18" t="s">
        <v>49</v>
      </c>
      <c r="F18" s="1">
        <v>0.45833333333333331</v>
      </c>
      <c r="G18" s="1">
        <v>1.4953703703703703E-2</v>
      </c>
      <c r="H18" s="2">
        <v>118</v>
      </c>
      <c r="I18" s="1">
        <v>2.2453703703703702E-3</v>
      </c>
      <c r="J18" s="2">
        <v>105</v>
      </c>
      <c r="K18" s="1">
        <v>2.3194444444444445E-2</v>
      </c>
      <c r="L18" s="2">
        <v>16</v>
      </c>
      <c r="M18" s="1">
        <v>1.5277777777777779E-3</v>
      </c>
      <c r="N18" s="2">
        <v>108</v>
      </c>
      <c r="O18" s="1">
        <v>1.2905092592592593E-2</v>
      </c>
      <c r="P18" s="2">
        <v>17</v>
      </c>
      <c r="Q18" s="1">
        <v>5.4837962962962963E-2</v>
      </c>
      <c r="R18" s="2">
        <v>41</v>
      </c>
      <c r="S18">
        <v>41</v>
      </c>
      <c r="T18">
        <v>19</v>
      </c>
      <c r="U18">
        <v>29</v>
      </c>
      <c r="V18" t="s">
        <v>19</v>
      </c>
      <c r="W18">
        <v>32</v>
      </c>
      <c r="X18" s="54">
        <f>Table1[[#This Row],[Gender Place]]/$Z$3</f>
        <v>0.37647058823529411</v>
      </c>
    </row>
    <row r="19" spans="2:24" x14ac:dyDescent="0.2">
      <c r="B19" s="3">
        <v>266</v>
      </c>
      <c r="C19" s="3" t="s">
        <v>92</v>
      </c>
      <c r="D19" s="3" t="s">
        <v>31</v>
      </c>
      <c r="E19" s="3" t="s">
        <v>93</v>
      </c>
      <c r="F19" s="4">
        <v>0.45833333333333331</v>
      </c>
      <c r="G19" s="4">
        <v>1.4074074074074074E-2</v>
      </c>
      <c r="H19" s="5">
        <v>104</v>
      </c>
      <c r="I19" s="4">
        <v>1.5856481481481481E-3</v>
      </c>
      <c r="J19" s="5">
        <v>44</v>
      </c>
      <c r="K19" s="4">
        <v>2.3229166666666665E-2</v>
      </c>
      <c r="L19" s="5">
        <v>17</v>
      </c>
      <c r="M19" s="4">
        <v>9.9537037037037042E-4</v>
      </c>
      <c r="N19" s="5">
        <v>33</v>
      </c>
      <c r="O19" s="4">
        <v>1.4201388888888888E-2</v>
      </c>
      <c r="P19" s="5">
        <v>39</v>
      </c>
      <c r="Q19" s="4">
        <v>5.4120370370370367E-2</v>
      </c>
      <c r="R19" s="5">
        <v>38</v>
      </c>
      <c r="S19" s="3">
        <v>38</v>
      </c>
      <c r="T19" s="3">
        <v>18</v>
      </c>
      <c r="U19" s="3">
        <v>26</v>
      </c>
      <c r="V19" s="3" t="s">
        <v>19</v>
      </c>
      <c r="W19" s="3">
        <v>29</v>
      </c>
      <c r="X19" s="54">
        <f>Table1[[#This Row],[Gender Place]]/$Z$3</f>
        <v>0.3411764705882353</v>
      </c>
    </row>
    <row r="20" spans="2:24" x14ac:dyDescent="0.2">
      <c r="B20">
        <v>269</v>
      </c>
      <c r="C20" t="s">
        <v>247</v>
      </c>
      <c r="D20" t="s">
        <v>21</v>
      </c>
      <c r="E20" t="s">
        <v>133</v>
      </c>
      <c r="F20" s="1">
        <v>0.45833333333333331</v>
      </c>
      <c r="G20" s="1"/>
      <c r="H20" s="2">
        <v>5</v>
      </c>
      <c r="I20" s="1">
        <v>1.1689814814814816E-3</v>
      </c>
      <c r="J20" s="2">
        <v>11</v>
      </c>
      <c r="K20" s="1">
        <v>2.3252314814814816E-2</v>
      </c>
      <c r="L20" s="2">
        <v>18</v>
      </c>
      <c r="M20" s="1">
        <v>1.0763888888888889E-3</v>
      </c>
      <c r="N20" s="2">
        <v>48</v>
      </c>
      <c r="O20" s="1">
        <v>1.2905092592592593E-2</v>
      </c>
      <c r="P20" s="2">
        <v>16</v>
      </c>
      <c r="Q20" t="s">
        <v>244</v>
      </c>
      <c r="R20" s="2">
        <v>152</v>
      </c>
      <c r="S20">
        <v>0</v>
      </c>
      <c r="T20">
        <v>19</v>
      </c>
      <c r="U20">
        <v>0</v>
      </c>
      <c r="V20" t="s">
        <v>19</v>
      </c>
      <c r="W20">
        <v>0</v>
      </c>
      <c r="X20" s="54">
        <f>Table1[[#This Row],[Gender Place]]/$Z$2</f>
        <v>0</v>
      </c>
    </row>
    <row r="21" spans="2:24" x14ac:dyDescent="0.2">
      <c r="B21">
        <v>273</v>
      </c>
      <c r="C21" t="s">
        <v>41</v>
      </c>
      <c r="D21" t="s">
        <v>42</v>
      </c>
      <c r="E21" t="s">
        <v>43</v>
      </c>
      <c r="F21" s="1">
        <v>0.45833333333333331</v>
      </c>
      <c r="G21" s="1">
        <v>1.0381944444444444E-2</v>
      </c>
      <c r="H21" s="2">
        <v>18</v>
      </c>
      <c r="I21" s="1">
        <v>1.2731481481481483E-3</v>
      </c>
      <c r="J21" s="2">
        <v>17</v>
      </c>
      <c r="K21" s="1">
        <v>2.3287037037037037E-2</v>
      </c>
      <c r="L21" s="2">
        <v>19</v>
      </c>
      <c r="M21" s="1">
        <v>9.4907407407407408E-4</v>
      </c>
      <c r="N21" s="2">
        <v>26</v>
      </c>
      <c r="O21" s="1">
        <v>1.3182870370370371E-2</v>
      </c>
      <c r="P21" s="2">
        <v>21</v>
      </c>
      <c r="Q21" s="1">
        <v>4.9108796296296296E-2</v>
      </c>
      <c r="R21" s="2">
        <v>10</v>
      </c>
      <c r="S21">
        <v>10</v>
      </c>
      <c r="T21">
        <v>23</v>
      </c>
      <c r="U21">
        <v>7</v>
      </c>
      <c r="V21" t="s">
        <v>19</v>
      </c>
      <c r="W21">
        <v>9</v>
      </c>
      <c r="X21" s="54">
        <f>Table1[[#This Row],[Gender Place]]/$Z$3</f>
        <v>0.10588235294117647</v>
      </c>
    </row>
    <row r="22" spans="2:24" x14ac:dyDescent="0.2">
      <c r="B22">
        <v>256</v>
      </c>
      <c r="C22" t="s">
        <v>243</v>
      </c>
      <c r="D22" t="s">
        <v>21</v>
      </c>
      <c r="E22" t="s">
        <v>73</v>
      </c>
      <c r="F22" s="1">
        <v>0.45833333333333331</v>
      </c>
      <c r="G22" s="1">
        <v>9.0277777777777769E-3</v>
      </c>
      <c r="H22" s="2">
        <v>7</v>
      </c>
      <c r="I22" s="1">
        <v>1.0416666666666667E-3</v>
      </c>
      <c r="J22" s="2">
        <v>6</v>
      </c>
      <c r="K22" s="1">
        <v>2.3333333333333334E-2</v>
      </c>
      <c r="L22" s="2">
        <v>20</v>
      </c>
      <c r="M22" s="1">
        <v>7.1759259259259259E-4</v>
      </c>
      <c r="N22" s="2">
        <v>4</v>
      </c>
      <c r="O22" s="1">
        <v>1.2453703703703703E-2</v>
      </c>
      <c r="P22" s="2">
        <v>8</v>
      </c>
      <c r="Q22" t="s">
        <v>244</v>
      </c>
      <c r="R22" s="2">
        <v>151</v>
      </c>
      <c r="S22">
        <v>0</v>
      </c>
      <c r="T22">
        <v>22</v>
      </c>
      <c r="U22">
        <v>0</v>
      </c>
      <c r="V22" t="s">
        <v>19</v>
      </c>
      <c r="W22">
        <v>0</v>
      </c>
      <c r="X22" s="54">
        <f>Table1[[#This Row],[Gender Place]]/$Z$2</f>
        <v>0</v>
      </c>
    </row>
    <row r="23" spans="2:24" x14ac:dyDescent="0.2">
      <c r="B23">
        <v>354</v>
      </c>
      <c r="C23" t="s">
        <v>50</v>
      </c>
      <c r="D23" t="s">
        <v>34</v>
      </c>
      <c r="E23" t="s">
        <v>45</v>
      </c>
      <c r="F23" s="1">
        <v>0.46527777777777779</v>
      </c>
      <c r="G23" s="1">
        <v>8.6342592592592599E-3</v>
      </c>
      <c r="H23" s="2">
        <v>3</v>
      </c>
      <c r="I23" s="1">
        <v>1.261574074074074E-3</v>
      </c>
      <c r="J23" s="2">
        <v>15</v>
      </c>
      <c r="K23" s="1">
        <v>2.3564814814814816E-2</v>
      </c>
      <c r="L23" s="2">
        <v>21</v>
      </c>
      <c r="M23" s="1">
        <v>1.5856481481481481E-3</v>
      </c>
      <c r="N23" s="2">
        <v>116</v>
      </c>
      <c r="O23" s="1">
        <v>1.5659722222222221E-2</v>
      </c>
      <c r="P23" s="2">
        <v>73</v>
      </c>
      <c r="Q23" s="1">
        <v>5.0729166666666665E-2</v>
      </c>
      <c r="R23" s="2">
        <v>14</v>
      </c>
      <c r="S23">
        <v>14</v>
      </c>
      <c r="T23">
        <v>21</v>
      </c>
      <c r="U23">
        <v>3</v>
      </c>
      <c r="V23" t="s">
        <v>36</v>
      </c>
      <c r="W23">
        <v>3</v>
      </c>
      <c r="X23" s="54">
        <f>Table1[[#This Row],[Gender Place]]/$Z$2</f>
        <v>4.7619047619047616E-2</v>
      </c>
    </row>
    <row r="24" spans="2:24" x14ac:dyDescent="0.2">
      <c r="B24">
        <v>295</v>
      </c>
      <c r="C24" t="s">
        <v>116</v>
      </c>
      <c r="D24" t="s">
        <v>21</v>
      </c>
      <c r="E24" t="s">
        <v>117</v>
      </c>
      <c r="F24" s="1">
        <v>0.45833333333333331</v>
      </c>
      <c r="G24" s="1">
        <v>1.6574074074074074E-2</v>
      </c>
      <c r="H24" s="2">
        <v>129</v>
      </c>
      <c r="I24" s="1">
        <v>1.8865740740740742E-3</v>
      </c>
      <c r="J24" s="2">
        <v>76</v>
      </c>
      <c r="K24" s="1">
        <v>2.3634259259259258E-2</v>
      </c>
      <c r="L24" s="2">
        <v>22</v>
      </c>
      <c r="M24" s="1">
        <v>2.3148148148148147E-3</v>
      </c>
      <c r="N24" s="2">
        <v>141</v>
      </c>
      <c r="O24" s="1">
        <v>1.2534722222222221E-2</v>
      </c>
      <c r="P24" s="2">
        <v>10</v>
      </c>
      <c r="Q24" s="1">
        <v>5.6967592592592591E-2</v>
      </c>
      <c r="R24" s="2">
        <v>57</v>
      </c>
      <c r="S24">
        <v>57</v>
      </c>
      <c r="T24">
        <v>20</v>
      </c>
      <c r="U24">
        <v>40</v>
      </c>
      <c r="V24" t="s">
        <v>19</v>
      </c>
      <c r="W24">
        <v>45</v>
      </c>
      <c r="X24" s="54">
        <f>Table1[[#This Row],[Gender Place]]/$Z$3</f>
        <v>0.52941176470588236</v>
      </c>
    </row>
    <row r="25" spans="2:24" x14ac:dyDescent="0.2">
      <c r="B25">
        <v>250</v>
      </c>
      <c r="C25" t="s">
        <v>119</v>
      </c>
      <c r="D25" t="s">
        <v>21</v>
      </c>
      <c r="E25" t="s">
        <v>120</v>
      </c>
      <c r="F25" s="1">
        <v>0.45833333333333331</v>
      </c>
      <c r="G25" s="1">
        <v>1.2604166666666666E-2</v>
      </c>
      <c r="H25" s="2">
        <v>73</v>
      </c>
      <c r="I25" s="1">
        <v>1.9097222222222222E-3</v>
      </c>
      <c r="J25" s="2">
        <v>79</v>
      </c>
      <c r="K25" s="1">
        <v>2.3645833333333335E-2</v>
      </c>
      <c r="L25" s="2">
        <v>23</v>
      </c>
      <c r="M25" s="1">
        <v>1.1921296296296296E-3</v>
      </c>
      <c r="N25" s="2">
        <v>67</v>
      </c>
      <c r="O25" s="1">
        <v>1.7638888888888888E-2</v>
      </c>
      <c r="P25" s="2">
        <v>104</v>
      </c>
      <c r="Q25" s="1">
        <v>5.7013888888888892E-2</v>
      </c>
      <c r="R25" s="2">
        <v>59</v>
      </c>
      <c r="S25">
        <v>59</v>
      </c>
      <c r="T25">
        <v>22</v>
      </c>
      <c r="U25">
        <v>42</v>
      </c>
      <c r="V25" t="s">
        <v>19</v>
      </c>
      <c r="W25">
        <v>47</v>
      </c>
      <c r="X25" s="54">
        <f>Table1[[#This Row],[Gender Place]]/$Z$3</f>
        <v>0.55294117647058827</v>
      </c>
    </row>
    <row r="26" spans="2:24" x14ac:dyDescent="0.2">
      <c r="B26" s="3">
        <v>226</v>
      </c>
      <c r="C26" s="3" t="s">
        <v>138</v>
      </c>
      <c r="D26" s="3" t="s">
        <v>31</v>
      </c>
      <c r="E26" s="3" t="s">
        <v>66</v>
      </c>
      <c r="F26" s="4">
        <v>0.45833333333333331</v>
      </c>
      <c r="G26" s="4">
        <v>1.3449074074074073E-2</v>
      </c>
      <c r="H26" s="5">
        <v>97</v>
      </c>
      <c r="I26" s="4">
        <v>1.5509259259259259E-3</v>
      </c>
      <c r="J26" s="5">
        <v>40</v>
      </c>
      <c r="K26" s="4">
        <v>2.3807870370370372E-2</v>
      </c>
      <c r="L26" s="5">
        <v>24</v>
      </c>
      <c r="M26" s="4">
        <v>1.1342592592592593E-3</v>
      </c>
      <c r="N26" s="5">
        <v>58</v>
      </c>
      <c r="O26" s="4">
        <v>1.849537037037037E-2</v>
      </c>
      <c r="P26" s="5">
        <v>117</v>
      </c>
      <c r="Q26" s="4">
        <v>5.8472222222222224E-2</v>
      </c>
      <c r="R26" s="5">
        <v>70</v>
      </c>
      <c r="S26" s="3">
        <v>70</v>
      </c>
      <c r="T26" s="3">
        <v>19</v>
      </c>
      <c r="U26" s="3">
        <v>48</v>
      </c>
      <c r="V26" s="3" t="s">
        <v>19</v>
      </c>
      <c r="W26" s="3">
        <v>54</v>
      </c>
      <c r="X26" s="54">
        <f>Table1[[#This Row],[Gender Place]]/$Z$3</f>
        <v>0.63529411764705879</v>
      </c>
    </row>
    <row r="27" spans="2:24" x14ac:dyDescent="0.2">
      <c r="B27">
        <v>381</v>
      </c>
      <c r="C27" t="s">
        <v>51</v>
      </c>
      <c r="D27" t="s">
        <v>21</v>
      </c>
      <c r="E27" t="s">
        <v>52</v>
      </c>
      <c r="F27" s="1">
        <v>0.45833333333333331</v>
      </c>
      <c r="G27" s="1">
        <v>1.0208333333333333E-2</v>
      </c>
      <c r="H27" s="2">
        <v>14</v>
      </c>
      <c r="I27" s="1">
        <v>1.1921296296296296E-3</v>
      </c>
      <c r="J27" s="2">
        <v>13</v>
      </c>
      <c r="K27" s="1">
        <v>2.3935185185185184E-2</v>
      </c>
      <c r="L27" s="2">
        <v>25</v>
      </c>
      <c r="M27" s="1">
        <v>7.0601851851851847E-4</v>
      </c>
      <c r="N27" s="2">
        <v>3</v>
      </c>
      <c r="O27" s="1">
        <v>1.480324074074074E-2</v>
      </c>
      <c r="P27" s="2">
        <v>53</v>
      </c>
      <c r="Q27" s="1">
        <v>5.0868055555555555E-2</v>
      </c>
      <c r="R27" s="2">
        <v>15</v>
      </c>
      <c r="S27">
        <v>15</v>
      </c>
      <c r="T27">
        <v>21</v>
      </c>
      <c r="U27">
        <v>10</v>
      </c>
      <c r="V27" t="s">
        <v>19</v>
      </c>
      <c r="W27">
        <v>12</v>
      </c>
      <c r="X27" s="54">
        <f>Table1[[#This Row],[Gender Place]]/$Z$3</f>
        <v>0.14117647058823529</v>
      </c>
    </row>
    <row r="28" spans="2:24" x14ac:dyDescent="0.2">
      <c r="B28">
        <v>278</v>
      </c>
      <c r="C28" t="s">
        <v>91</v>
      </c>
      <c r="D28" t="s">
        <v>21</v>
      </c>
      <c r="E28" t="s">
        <v>22</v>
      </c>
      <c r="F28" s="1">
        <v>0.46527777777777779</v>
      </c>
      <c r="G28" s="1">
        <v>1.2465277777777778E-2</v>
      </c>
      <c r="H28" s="2">
        <v>64</v>
      </c>
      <c r="I28" s="1">
        <v>1.8287037037037037E-3</v>
      </c>
      <c r="J28" s="2">
        <v>68</v>
      </c>
      <c r="K28" s="1">
        <v>2.3935185185185184E-2</v>
      </c>
      <c r="L28" s="2">
        <v>26</v>
      </c>
      <c r="M28" s="1">
        <v>1.0995370370370371E-3</v>
      </c>
      <c r="N28" s="2">
        <v>53</v>
      </c>
      <c r="O28" s="1">
        <v>1.4525462962962962E-2</v>
      </c>
      <c r="P28" s="2">
        <v>46</v>
      </c>
      <c r="Q28" s="1">
        <v>5.3877314814814815E-2</v>
      </c>
      <c r="R28" s="2">
        <v>37</v>
      </c>
      <c r="S28">
        <v>37</v>
      </c>
      <c r="T28">
        <v>22</v>
      </c>
      <c r="U28">
        <v>8</v>
      </c>
      <c r="V28" t="s">
        <v>36</v>
      </c>
      <c r="W28">
        <v>9</v>
      </c>
      <c r="X28" s="54">
        <f>Table1[[#This Row],[Gender Place]]/$Z$2</f>
        <v>0.14285714285714285</v>
      </c>
    </row>
    <row r="29" spans="2:24" x14ac:dyDescent="0.2">
      <c r="B29">
        <v>320</v>
      </c>
      <c r="C29" t="s">
        <v>101</v>
      </c>
      <c r="D29" t="s">
        <v>24</v>
      </c>
      <c r="E29" t="s">
        <v>77</v>
      </c>
      <c r="F29" s="1">
        <v>0.45833333333333331</v>
      </c>
      <c r="G29" s="1">
        <v>1.3344907407407408E-2</v>
      </c>
      <c r="H29" s="2">
        <v>96</v>
      </c>
      <c r="I29" s="1">
        <v>1.7708333333333332E-3</v>
      </c>
      <c r="J29" s="2">
        <v>60</v>
      </c>
      <c r="K29" s="1">
        <v>2.3969907407407409E-2</v>
      </c>
      <c r="L29" s="2">
        <v>27</v>
      </c>
      <c r="M29" s="1">
        <v>1.5856481481481481E-3</v>
      </c>
      <c r="N29" s="2">
        <v>117</v>
      </c>
      <c r="O29" s="1">
        <v>1.4791666666666667E-2</v>
      </c>
      <c r="P29" s="2">
        <v>52</v>
      </c>
      <c r="Q29" s="1">
        <v>5.5497685185185185E-2</v>
      </c>
      <c r="R29" s="2">
        <v>44</v>
      </c>
      <c r="S29">
        <v>44</v>
      </c>
      <c r="T29">
        <v>20</v>
      </c>
      <c r="U29">
        <v>32</v>
      </c>
      <c r="V29" t="s">
        <v>19</v>
      </c>
      <c r="W29">
        <v>35</v>
      </c>
      <c r="X29" s="54">
        <f>Table1[[#This Row],[Gender Place]]/$Z$3</f>
        <v>0.41176470588235292</v>
      </c>
    </row>
    <row r="30" spans="2:24" x14ac:dyDescent="0.2">
      <c r="B30">
        <v>255</v>
      </c>
      <c r="C30" t="s">
        <v>57</v>
      </c>
      <c r="E30" t="s">
        <v>58</v>
      </c>
      <c r="F30" s="1">
        <v>0.46527777777777779</v>
      </c>
      <c r="G30" s="1">
        <v>1.0833333333333334E-2</v>
      </c>
      <c r="H30" s="2">
        <v>27</v>
      </c>
      <c r="I30" s="1">
        <v>1.3773148148148147E-3</v>
      </c>
      <c r="J30" s="2">
        <v>23</v>
      </c>
      <c r="K30" s="1">
        <v>2.417824074074074E-2</v>
      </c>
      <c r="L30" s="2">
        <v>28</v>
      </c>
      <c r="M30" s="1">
        <v>9.9537037037037042E-4</v>
      </c>
      <c r="N30" s="2">
        <v>34</v>
      </c>
      <c r="O30" s="1">
        <v>1.4398148148148148E-2</v>
      </c>
      <c r="P30" s="2">
        <v>43</v>
      </c>
      <c r="Q30" s="1">
        <v>5.1793981481481483E-2</v>
      </c>
      <c r="R30" s="2">
        <v>18</v>
      </c>
      <c r="S30">
        <v>18</v>
      </c>
      <c r="T30">
        <v>23</v>
      </c>
      <c r="U30">
        <v>4</v>
      </c>
      <c r="V30" t="s">
        <v>36</v>
      </c>
      <c r="W30">
        <v>4</v>
      </c>
      <c r="X30" s="54">
        <f>Table1[[#This Row],[Gender Place]]/$Z$2</f>
        <v>6.3492063492063489E-2</v>
      </c>
    </row>
    <row r="31" spans="2:24" x14ac:dyDescent="0.2">
      <c r="B31">
        <v>349</v>
      </c>
      <c r="C31" t="s">
        <v>55</v>
      </c>
      <c r="D31" t="s">
        <v>24</v>
      </c>
      <c r="E31" t="s">
        <v>56</v>
      </c>
      <c r="F31" s="1">
        <v>0.45833333333333331</v>
      </c>
      <c r="G31" s="1">
        <v>1.1840277777777778E-2</v>
      </c>
      <c r="H31" s="2">
        <v>53</v>
      </c>
      <c r="I31" s="1">
        <v>1.4351851851851852E-3</v>
      </c>
      <c r="J31" s="2">
        <v>28</v>
      </c>
      <c r="K31" s="1">
        <v>2.4328703703703703E-2</v>
      </c>
      <c r="L31" s="2">
        <v>29</v>
      </c>
      <c r="M31" s="1">
        <v>1.0648148148148149E-3</v>
      </c>
      <c r="N31" s="2">
        <v>44</v>
      </c>
      <c r="O31" s="1">
        <v>1.2222222222222223E-2</v>
      </c>
      <c r="P31" s="2">
        <v>4</v>
      </c>
      <c r="Q31" s="1">
        <v>5.0902777777777776E-2</v>
      </c>
      <c r="R31" s="2">
        <v>16</v>
      </c>
      <c r="S31">
        <v>17</v>
      </c>
      <c r="T31">
        <v>18</v>
      </c>
      <c r="U31">
        <v>12</v>
      </c>
      <c r="V31" t="s">
        <v>19</v>
      </c>
      <c r="W31">
        <v>14</v>
      </c>
      <c r="X31" s="54">
        <f>Table1[[#This Row],[Gender Place]]/$Z$3</f>
        <v>0.16470588235294117</v>
      </c>
    </row>
    <row r="32" spans="2:24" x14ac:dyDescent="0.2">
      <c r="B32">
        <v>297</v>
      </c>
      <c r="C32" t="s">
        <v>95</v>
      </c>
      <c r="D32" t="s">
        <v>24</v>
      </c>
      <c r="E32" t="s">
        <v>96</v>
      </c>
      <c r="F32" s="1">
        <v>0.45833333333333331</v>
      </c>
      <c r="G32" s="1">
        <v>1.480324074074074E-2</v>
      </c>
      <c r="H32" s="2">
        <v>116</v>
      </c>
      <c r="I32" s="1">
        <v>1.261574074074074E-3</v>
      </c>
      <c r="J32" s="2">
        <v>16</v>
      </c>
      <c r="K32" s="1">
        <v>2.4363425925925927E-2</v>
      </c>
      <c r="L32" s="2">
        <v>30</v>
      </c>
      <c r="M32" s="1">
        <v>9.1435185185185185E-4</v>
      </c>
      <c r="N32" s="2">
        <v>20</v>
      </c>
      <c r="O32" s="1">
        <v>1.2962962962962963E-2</v>
      </c>
      <c r="P32" s="2">
        <v>19</v>
      </c>
      <c r="Q32" s="1">
        <v>5.4328703703703705E-2</v>
      </c>
      <c r="R32" s="2">
        <v>40</v>
      </c>
      <c r="S32">
        <v>40</v>
      </c>
      <c r="T32">
        <v>21</v>
      </c>
      <c r="U32">
        <v>28</v>
      </c>
      <c r="V32" t="s">
        <v>19</v>
      </c>
      <c r="W32">
        <v>31</v>
      </c>
      <c r="X32" s="54">
        <f>Table1[[#This Row],[Gender Place]]/$Z$3</f>
        <v>0.36470588235294116</v>
      </c>
    </row>
    <row r="33" spans="2:24" x14ac:dyDescent="0.2">
      <c r="B33">
        <v>367</v>
      </c>
      <c r="C33" t="s">
        <v>33</v>
      </c>
      <c r="D33" t="s">
        <v>34</v>
      </c>
      <c r="E33" t="s">
        <v>35</v>
      </c>
      <c r="F33" s="1">
        <v>0.46527777777777779</v>
      </c>
      <c r="G33" s="1">
        <v>8.564814814814815E-3</v>
      </c>
      <c r="H33" s="2">
        <v>2</v>
      </c>
      <c r="I33" s="1">
        <v>1.0648148148148149E-3</v>
      </c>
      <c r="J33" s="2">
        <v>7</v>
      </c>
      <c r="K33" s="1">
        <v>2.4375000000000001E-2</v>
      </c>
      <c r="L33" s="2">
        <v>31</v>
      </c>
      <c r="M33" s="1">
        <v>7.8703703703703705E-4</v>
      </c>
      <c r="N33" s="2">
        <v>7</v>
      </c>
      <c r="O33" s="1">
        <v>1.3344907407407408E-2</v>
      </c>
      <c r="P33" s="2">
        <v>25</v>
      </c>
      <c r="Q33" s="1">
        <v>4.8159722222222222E-2</v>
      </c>
      <c r="R33" s="2">
        <v>7</v>
      </c>
      <c r="S33">
        <v>7</v>
      </c>
      <c r="T33">
        <v>19</v>
      </c>
      <c r="U33">
        <v>1</v>
      </c>
      <c r="V33" t="s">
        <v>36</v>
      </c>
      <c r="W33">
        <v>1</v>
      </c>
      <c r="X33" s="54">
        <f>Table1[[#This Row],[Gender Place]]/$Z$2</f>
        <v>1.5873015873015872E-2</v>
      </c>
    </row>
    <row r="34" spans="2:24" x14ac:dyDescent="0.2">
      <c r="B34">
        <v>311</v>
      </c>
      <c r="C34" t="s">
        <v>89</v>
      </c>
      <c r="D34" t="s">
        <v>24</v>
      </c>
      <c r="E34" t="s">
        <v>90</v>
      </c>
      <c r="F34" s="1">
        <v>0.45833333333333331</v>
      </c>
      <c r="G34" s="1">
        <v>1.2604166666666666E-2</v>
      </c>
      <c r="H34" s="2">
        <v>72</v>
      </c>
      <c r="I34" s="1">
        <v>1.4930555555555556E-3</v>
      </c>
      <c r="J34" s="2">
        <v>35</v>
      </c>
      <c r="K34" s="1">
        <v>2.4398148148148148E-2</v>
      </c>
      <c r="L34" s="2">
        <v>32</v>
      </c>
      <c r="M34" s="1">
        <v>1.5046296296296296E-3</v>
      </c>
      <c r="N34" s="2">
        <v>105</v>
      </c>
      <c r="O34" s="1">
        <v>1.380787037037037E-2</v>
      </c>
      <c r="P34" s="2">
        <v>37</v>
      </c>
      <c r="Q34" s="1">
        <v>5.3819444444444448E-2</v>
      </c>
      <c r="R34" s="2">
        <v>36</v>
      </c>
      <c r="S34">
        <v>36</v>
      </c>
      <c r="T34">
        <v>20</v>
      </c>
      <c r="U34">
        <v>25</v>
      </c>
      <c r="V34" t="s">
        <v>19</v>
      </c>
      <c r="W34">
        <v>28</v>
      </c>
      <c r="X34" s="54">
        <f>Table1[[#This Row],[Gender Place]]/$Z$3</f>
        <v>0.32941176470588235</v>
      </c>
    </row>
    <row r="35" spans="2:24" x14ac:dyDescent="0.2">
      <c r="B35">
        <v>329</v>
      </c>
      <c r="C35" t="s">
        <v>69</v>
      </c>
      <c r="D35" t="s">
        <v>24</v>
      </c>
      <c r="E35" t="s">
        <v>70</v>
      </c>
      <c r="F35" s="1">
        <v>0.46527777777777779</v>
      </c>
      <c r="G35" s="1">
        <v>1.1226851851851852E-2</v>
      </c>
      <c r="H35" s="2">
        <v>33</v>
      </c>
      <c r="I35" s="1">
        <v>9.837962962962962E-4</v>
      </c>
      <c r="J35" s="2">
        <v>5</v>
      </c>
      <c r="K35" s="1">
        <v>2.4409722222222222E-2</v>
      </c>
      <c r="L35" s="2">
        <v>33</v>
      </c>
      <c r="M35" s="1">
        <v>9.4907407407407408E-4</v>
      </c>
      <c r="N35" s="2">
        <v>27</v>
      </c>
      <c r="O35" s="1">
        <v>1.5243055555555555E-2</v>
      </c>
      <c r="P35" s="2">
        <v>64</v>
      </c>
      <c r="Q35" s="1">
        <v>5.2824074074074072E-2</v>
      </c>
      <c r="R35" s="2">
        <v>24</v>
      </c>
      <c r="S35">
        <v>24</v>
      </c>
      <c r="T35">
        <v>25</v>
      </c>
      <c r="U35">
        <v>1</v>
      </c>
      <c r="V35" t="s">
        <v>36</v>
      </c>
      <c r="W35">
        <v>5</v>
      </c>
      <c r="X35" s="54">
        <f>Table1[[#This Row],[Gender Place]]/$Z$2</f>
        <v>7.9365079365079361E-2</v>
      </c>
    </row>
    <row r="36" spans="2:24" x14ac:dyDescent="0.2">
      <c r="B36">
        <v>251</v>
      </c>
      <c r="C36" t="s">
        <v>84</v>
      </c>
      <c r="D36" t="s">
        <v>21</v>
      </c>
      <c r="E36" t="s">
        <v>85</v>
      </c>
      <c r="F36" s="1">
        <v>0.45833333333333331</v>
      </c>
      <c r="G36" s="1">
        <v>1.3298611111111112E-2</v>
      </c>
      <c r="H36" s="2">
        <v>95</v>
      </c>
      <c r="I36" s="1">
        <v>1.4236111111111112E-3</v>
      </c>
      <c r="J36" s="2">
        <v>27</v>
      </c>
      <c r="K36" s="1">
        <v>2.4456018518518519E-2</v>
      </c>
      <c r="L36" s="2">
        <v>34</v>
      </c>
      <c r="M36" s="1">
        <v>1.0416666666666667E-3</v>
      </c>
      <c r="N36" s="2">
        <v>40</v>
      </c>
      <c r="O36" s="1">
        <v>1.3217592592592593E-2</v>
      </c>
      <c r="P36" s="2">
        <v>24</v>
      </c>
      <c r="Q36" s="1">
        <v>5.3460648148148146E-2</v>
      </c>
      <c r="R36" s="2">
        <v>32</v>
      </c>
      <c r="S36">
        <v>32</v>
      </c>
      <c r="T36">
        <v>19</v>
      </c>
      <c r="U36">
        <v>21</v>
      </c>
      <c r="V36" t="s">
        <v>19</v>
      </c>
      <c r="W36">
        <v>24</v>
      </c>
      <c r="X36" s="54">
        <f>Table1[[#This Row],[Gender Place]]/$Z$3</f>
        <v>0.28235294117647058</v>
      </c>
    </row>
    <row r="37" spans="2:24" x14ac:dyDescent="0.2">
      <c r="B37">
        <v>274</v>
      </c>
      <c r="C37" t="s">
        <v>115</v>
      </c>
      <c r="D37" t="s">
        <v>24</v>
      </c>
      <c r="E37" t="s">
        <v>90</v>
      </c>
      <c r="F37" s="1">
        <v>0.45833333333333331</v>
      </c>
      <c r="G37" s="1">
        <v>1.2546296296296297E-2</v>
      </c>
      <c r="H37" s="2">
        <v>70</v>
      </c>
      <c r="I37" s="1">
        <v>1.9791666666666668E-3</v>
      </c>
      <c r="J37" s="2">
        <v>85</v>
      </c>
      <c r="K37" s="1">
        <v>2.4652777777777777E-2</v>
      </c>
      <c r="L37" s="2">
        <v>35</v>
      </c>
      <c r="M37" s="1">
        <v>1.1921296296296296E-3</v>
      </c>
      <c r="N37" s="2">
        <v>68</v>
      </c>
      <c r="O37" s="1">
        <v>1.6307870370370372E-2</v>
      </c>
      <c r="P37" s="2">
        <v>82</v>
      </c>
      <c r="Q37" s="1">
        <v>5.6712962962962965E-2</v>
      </c>
      <c r="R37" s="2">
        <v>55</v>
      </c>
      <c r="S37">
        <v>55</v>
      </c>
      <c r="T37">
        <v>23</v>
      </c>
      <c r="U37">
        <v>39</v>
      </c>
      <c r="V37" t="s">
        <v>19</v>
      </c>
      <c r="W37">
        <v>44</v>
      </c>
      <c r="X37" s="54">
        <f>Table1[[#This Row],[Gender Place]]/$Z$3</f>
        <v>0.51764705882352946</v>
      </c>
    </row>
    <row r="38" spans="2:24" x14ac:dyDescent="0.2">
      <c r="B38">
        <v>239</v>
      </c>
      <c r="C38" t="s">
        <v>65</v>
      </c>
      <c r="D38" t="s">
        <v>24</v>
      </c>
      <c r="E38" t="s">
        <v>66</v>
      </c>
      <c r="F38" s="1">
        <v>0.45833333333333331</v>
      </c>
      <c r="G38" s="1">
        <v>1.2546296296296297E-2</v>
      </c>
      <c r="H38" s="2">
        <v>69</v>
      </c>
      <c r="I38" s="1">
        <v>1.6203703703703703E-3</v>
      </c>
      <c r="J38" s="2">
        <v>45</v>
      </c>
      <c r="K38" s="1">
        <v>2.4664351851851851E-2</v>
      </c>
      <c r="L38" s="2">
        <v>36</v>
      </c>
      <c r="M38" s="1">
        <v>8.1018518518518516E-4</v>
      </c>
      <c r="N38" s="2">
        <v>8</v>
      </c>
      <c r="O38" s="1">
        <v>1.2673611111111111E-2</v>
      </c>
      <c r="P38" s="2">
        <v>12</v>
      </c>
      <c r="Q38" s="1">
        <v>5.2337962962962961E-2</v>
      </c>
      <c r="R38" s="2">
        <v>22</v>
      </c>
      <c r="S38">
        <v>22</v>
      </c>
      <c r="T38">
        <v>18</v>
      </c>
      <c r="U38">
        <v>16</v>
      </c>
      <c r="V38" t="s">
        <v>19</v>
      </c>
      <c r="W38">
        <v>18</v>
      </c>
      <c r="X38" s="54">
        <f>Table1[[#This Row],[Gender Place]]/$Z$3</f>
        <v>0.21176470588235294</v>
      </c>
    </row>
    <row r="39" spans="2:24" x14ac:dyDescent="0.2">
      <c r="B39" s="3">
        <v>267</v>
      </c>
      <c r="C39" s="3" t="s">
        <v>94</v>
      </c>
      <c r="D39" s="3" t="s">
        <v>31</v>
      </c>
      <c r="E39" s="3" t="s">
        <v>93</v>
      </c>
      <c r="F39" s="4">
        <v>0.45833333333333331</v>
      </c>
      <c r="G39" s="4">
        <v>1.1643518518518518E-2</v>
      </c>
      <c r="H39" s="5">
        <v>47</v>
      </c>
      <c r="I39" s="4">
        <v>1.6435185185185185E-3</v>
      </c>
      <c r="J39" s="5">
        <v>47</v>
      </c>
      <c r="K39" s="4">
        <v>2.480324074074074E-2</v>
      </c>
      <c r="L39" s="5">
        <v>37</v>
      </c>
      <c r="M39" s="4">
        <v>1.0416666666666667E-3</v>
      </c>
      <c r="N39" s="5">
        <v>41</v>
      </c>
      <c r="O39" s="4">
        <v>1.5046296296296295E-2</v>
      </c>
      <c r="P39" s="5">
        <v>57</v>
      </c>
      <c r="Q39" s="4">
        <v>5.4189814814814816E-2</v>
      </c>
      <c r="R39" s="5">
        <v>39</v>
      </c>
      <c r="S39" s="3">
        <v>39</v>
      </c>
      <c r="T39" s="3">
        <v>18</v>
      </c>
      <c r="U39" s="3">
        <v>27</v>
      </c>
      <c r="V39" s="3" t="s">
        <v>19</v>
      </c>
      <c r="W39" s="3">
        <v>30</v>
      </c>
      <c r="X39" s="54">
        <f>Table1[[#This Row],[Gender Place]]/$Z$3</f>
        <v>0.35294117647058826</v>
      </c>
    </row>
    <row r="40" spans="2:24" x14ac:dyDescent="0.2">
      <c r="B40">
        <v>366</v>
      </c>
      <c r="C40" t="s">
        <v>67</v>
      </c>
      <c r="E40" t="s">
        <v>68</v>
      </c>
      <c r="F40" s="1">
        <v>0.45833333333333331</v>
      </c>
      <c r="G40" s="1">
        <v>1.019675925925926E-2</v>
      </c>
      <c r="H40" s="2">
        <v>12</v>
      </c>
      <c r="I40" s="1">
        <v>2.9861111111111113E-3</v>
      </c>
      <c r="J40" s="2">
        <v>134</v>
      </c>
      <c r="K40" s="1">
        <v>2.480324074074074E-2</v>
      </c>
      <c r="L40" s="2">
        <v>38</v>
      </c>
      <c r="M40" s="1">
        <v>1.1921296296296296E-3</v>
      </c>
      <c r="N40" s="2">
        <v>69</v>
      </c>
      <c r="O40" s="1">
        <v>1.3495370370370371E-2</v>
      </c>
      <c r="P40" s="2">
        <v>29</v>
      </c>
      <c r="Q40" s="1">
        <v>5.2708333333333336E-2</v>
      </c>
      <c r="R40" s="2">
        <v>23</v>
      </c>
      <c r="S40">
        <v>23</v>
      </c>
      <c r="T40">
        <v>19</v>
      </c>
      <c r="U40">
        <v>17</v>
      </c>
      <c r="V40" t="s">
        <v>19</v>
      </c>
      <c r="W40">
        <v>19</v>
      </c>
      <c r="X40" s="54">
        <f>Table1[[#This Row],[Gender Place]]/$Z$3</f>
        <v>0.22352941176470589</v>
      </c>
    </row>
    <row r="41" spans="2:24" x14ac:dyDescent="0.2">
      <c r="B41" s="3">
        <v>302</v>
      </c>
      <c r="C41" s="3" t="s">
        <v>100</v>
      </c>
      <c r="D41" s="3" t="s">
        <v>31</v>
      </c>
      <c r="E41" s="3" t="s">
        <v>31</v>
      </c>
      <c r="F41" s="4">
        <v>0.45833333333333331</v>
      </c>
      <c r="G41" s="4">
        <v>1.5127314814814816E-2</v>
      </c>
      <c r="H41" s="5">
        <v>121</v>
      </c>
      <c r="I41" s="4">
        <v>1.7013888888888888E-3</v>
      </c>
      <c r="J41" s="5">
        <v>54</v>
      </c>
      <c r="K41" s="4">
        <v>2.4861111111111112E-2</v>
      </c>
      <c r="L41" s="5">
        <v>39</v>
      </c>
      <c r="M41" s="4">
        <v>8.564814814814815E-4</v>
      </c>
      <c r="N41" s="5">
        <v>10</v>
      </c>
      <c r="O41" s="4">
        <v>1.275462962962963E-2</v>
      </c>
      <c r="P41" s="5">
        <v>14</v>
      </c>
      <c r="Q41" s="4">
        <v>5.5324074074074074E-2</v>
      </c>
      <c r="R41" s="5">
        <v>43</v>
      </c>
      <c r="S41" s="3">
        <v>43</v>
      </c>
      <c r="T41" s="3">
        <v>21</v>
      </c>
      <c r="U41" s="3">
        <v>31</v>
      </c>
      <c r="V41" s="3" t="s">
        <v>19</v>
      </c>
      <c r="W41" s="3">
        <v>34</v>
      </c>
      <c r="X41" s="54">
        <f>Table1[[#This Row],[Gender Place]]/$Z$3</f>
        <v>0.4</v>
      </c>
    </row>
    <row r="42" spans="2:24" x14ac:dyDescent="0.2">
      <c r="B42">
        <v>247</v>
      </c>
      <c r="C42" t="s">
        <v>87</v>
      </c>
      <c r="D42" t="s">
        <v>29</v>
      </c>
      <c r="E42" t="s">
        <v>35</v>
      </c>
      <c r="F42" s="1">
        <v>0.45833333333333331</v>
      </c>
      <c r="G42" s="1">
        <v>1.1099537037037036E-2</v>
      </c>
      <c r="H42" s="2">
        <v>32</v>
      </c>
      <c r="I42" s="1">
        <v>1.6898148148148148E-3</v>
      </c>
      <c r="J42" s="2">
        <v>53</v>
      </c>
      <c r="K42" s="1">
        <v>2.4976851851851851E-2</v>
      </c>
      <c r="L42" s="2">
        <v>40</v>
      </c>
      <c r="M42" s="1">
        <v>2.0949074074074073E-3</v>
      </c>
      <c r="N42" s="2">
        <v>137</v>
      </c>
      <c r="O42" s="1">
        <v>1.3668981481481482E-2</v>
      </c>
      <c r="P42" s="2">
        <v>34</v>
      </c>
      <c r="Q42" s="1">
        <v>5.3541666666666668E-2</v>
      </c>
      <c r="R42" s="2">
        <v>34</v>
      </c>
      <c r="S42">
        <v>34</v>
      </c>
      <c r="T42">
        <v>19</v>
      </c>
      <c r="U42">
        <v>23</v>
      </c>
      <c r="V42" t="s">
        <v>19</v>
      </c>
      <c r="W42">
        <v>26</v>
      </c>
      <c r="X42" s="54">
        <f>Table1[[#This Row],[Gender Place]]/$Z$3</f>
        <v>0.30588235294117649</v>
      </c>
    </row>
    <row r="43" spans="2:24" x14ac:dyDescent="0.2">
      <c r="B43">
        <v>271</v>
      </c>
      <c r="C43" t="s">
        <v>88</v>
      </c>
      <c r="D43" t="s">
        <v>21</v>
      </c>
      <c r="E43" t="s">
        <v>85</v>
      </c>
      <c r="F43" s="1">
        <v>0.45833333333333331</v>
      </c>
      <c r="G43" s="1">
        <v>1.1388888888888889E-2</v>
      </c>
      <c r="H43" s="2">
        <v>37</v>
      </c>
      <c r="I43" s="1">
        <v>2.3842592592592591E-3</v>
      </c>
      <c r="J43" s="2">
        <v>113</v>
      </c>
      <c r="K43" s="1">
        <v>2.5115740740740741E-2</v>
      </c>
      <c r="L43" s="2">
        <v>41</v>
      </c>
      <c r="M43" s="1">
        <v>1.1805555555555556E-3</v>
      </c>
      <c r="N43" s="2">
        <v>64</v>
      </c>
      <c r="O43" s="1">
        <v>1.3472222222222222E-2</v>
      </c>
      <c r="P43" s="2">
        <v>28</v>
      </c>
      <c r="Q43" s="1">
        <v>5.3576388888888889E-2</v>
      </c>
      <c r="R43" s="2">
        <v>35</v>
      </c>
      <c r="S43">
        <v>35</v>
      </c>
      <c r="T43">
        <v>20</v>
      </c>
      <c r="U43">
        <v>24</v>
      </c>
      <c r="V43" t="s">
        <v>19</v>
      </c>
      <c r="W43">
        <v>27</v>
      </c>
      <c r="X43" s="54">
        <f>Table1[[#This Row],[Gender Place]]/$Z$3</f>
        <v>0.31764705882352939</v>
      </c>
    </row>
    <row r="44" spans="2:24" x14ac:dyDescent="0.2">
      <c r="B44" s="3">
        <v>283</v>
      </c>
      <c r="C44" s="3" t="s">
        <v>98</v>
      </c>
      <c r="D44" s="3" t="s">
        <v>31</v>
      </c>
      <c r="E44" s="3" t="s">
        <v>99</v>
      </c>
      <c r="F44" s="4">
        <v>0.45833333333333331</v>
      </c>
      <c r="G44" s="4">
        <v>1.3668981481481482E-2</v>
      </c>
      <c r="H44" s="5">
        <v>100</v>
      </c>
      <c r="I44" s="4">
        <v>1.3310185185185185E-3</v>
      </c>
      <c r="J44" s="5">
        <v>20</v>
      </c>
      <c r="K44" s="4">
        <v>2.5138888888888888E-2</v>
      </c>
      <c r="L44" s="5">
        <v>42</v>
      </c>
      <c r="M44" s="4">
        <v>1.0879629629629629E-3</v>
      </c>
      <c r="N44" s="5">
        <v>50</v>
      </c>
      <c r="O44" s="4">
        <v>1.375E-2</v>
      </c>
      <c r="P44" s="5">
        <v>36</v>
      </c>
      <c r="Q44" s="4">
        <v>5.5011574074074074E-2</v>
      </c>
      <c r="R44" s="5">
        <v>42</v>
      </c>
      <c r="S44" s="3">
        <v>42</v>
      </c>
      <c r="T44" s="3">
        <v>21</v>
      </c>
      <c r="U44" s="3">
        <v>30</v>
      </c>
      <c r="V44" s="3" t="s">
        <v>19</v>
      </c>
      <c r="W44" s="3">
        <v>33</v>
      </c>
      <c r="X44" s="54">
        <f>Table1[[#This Row],[Gender Place]]/$Z$3</f>
        <v>0.38823529411764707</v>
      </c>
    </row>
    <row r="45" spans="2:24" x14ac:dyDescent="0.2">
      <c r="B45">
        <v>304</v>
      </c>
      <c r="C45" t="s">
        <v>86</v>
      </c>
      <c r="D45" t="s">
        <v>34</v>
      </c>
      <c r="E45" t="s">
        <v>58</v>
      </c>
      <c r="F45" s="1">
        <v>0.45833333333333331</v>
      </c>
      <c r="G45" s="1">
        <v>1.1956018518518519E-2</v>
      </c>
      <c r="H45" s="2">
        <v>55</v>
      </c>
      <c r="I45" s="1">
        <v>2.8124999999999999E-3</v>
      </c>
      <c r="J45" s="2">
        <v>128</v>
      </c>
      <c r="K45" s="1">
        <v>2.5150462962962961E-2</v>
      </c>
      <c r="L45" s="2">
        <v>43</v>
      </c>
      <c r="M45" s="1">
        <v>1.0069444444444444E-3</v>
      </c>
      <c r="N45" s="2">
        <v>37</v>
      </c>
      <c r="O45" s="1">
        <v>1.2592592592592593E-2</v>
      </c>
      <c r="P45" s="2">
        <v>11</v>
      </c>
      <c r="Q45" s="1">
        <v>5.3541666666666668E-2</v>
      </c>
      <c r="R45" s="2">
        <v>33</v>
      </c>
      <c r="S45">
        <v>33</v>
      </c>
      <c r="T45">
        <v>21</v>
      </c>
      <c r="U45">
        <v>22</v>
      </c>
      <c r="V45" t="s">
        <v>19</v>
      </c>
      <c r="W45">
        <v>25</v>
      </c>
      <c r="X45" s="54">
        <f>Table1[[#This Row],[Gender Place]]/$Z$3</f>
        <v>0.29411764705882354</v>
      </c>
    </row>
    <row r="46" spans="2:24" x14ac:dyDescent="0.2">
      <c r="B46">
        <v>303</v>
      </c>
      <c r="C46" t="s">
        <v>71</v>
      </c>
      <c r="D46" t="s">
        <v>72</v>
      </c>
      <c r="E46" t="s">
        <v>73</v>
      </c>
      <c r="F46" s="1">
        <v>0.46527777777777779</v>
      </c>
      <c r="G46" s="1">
        <v>1.2523148148148148E-2</v>
      </c>
      <c r="H46" s="2">
        <v>67</v>
      </c>
      <c r="I46" s="1">
        <v>1.2962962962962963E-3</v>
      </c>
      <c r="J46" s="2">
        <v>18</v>
      </c>
      <c r="K46" s="1">
        <v>2.5162037037037038E-2</v>
      </c>
      <c r="L46" s="2">
        <v>44</v>
      </c>
      <c r="M46" s="1">
        <v>1.0879629629629629E-3</v>
      </c>
      <c r="N46" s="2">
        <v>51</v>
      </c>
      <c r="O46" s="1">
        <v>1.2916666666666667E-2</v>
      </c>
      <c r="P46" s="2">
        <v>18</v>
      </c>
      <c r="Q46" s="1">
        <v>5.3009259259259256E-2</v>
      </c>
      <c r="R46" s="2">
        <v>25</v>
      </c>
      <c r="S46">
        <v>25</v>
      </c>
      <c r="T46">
        <v>23</v>
      </c>
      <c r="U46">
        <v>5</v>
      </c>
      <c r="V46" t="s">
        <v>36</v>
      </c>
      <c r="W46">
        <v>6</v>
      </c>
      <c r="X46" s="54">
        <f>Table1[[#This Row],[Gender Place]]/$Z$2</f>
        <v>9.5238095238095233E-2</v>
      </c>
    </row>
    <row r="47" spans="2:24" x14ac:dyDescent="0.2">
      <c r="B47">
        <v>249</v>
      </c>
      <c r="C47" t="s">
        <v>62</v>
      </c>
      <c r="E47" t="s">
        <v>40</v>
      </c>
      <c r="F47" s="1">
        <v>0.45833333333333331</v>
      </c>
      <c r="G47" s="1">
        <v>9.0046296296296298E-3</v>
      </c>
      <c r="H47" s="2">
        <v>6</v>
      </c>
      <c r="I47" s="1">
        <v>1.6782407407407408E-3</v>
      </c>
      <c r="J47" s="2">
        <v>51</v>
      </c>
      <c r="K47" s="1">
        <v>2.5185185185185185E-2</v>
      </c>
      <c r="L47" s="2">
        <v>45</v>
      </c>
      <c r="M47" s="1">
        <v>1.25E-3</v>
      </c>
      <c r="N47" s="2">
        <v>76</v>
      </c>
      <c r="O47" s="1">
        <v>1.4733796296296297E-2</v>
      </c>
      <c r="P47" s="2">
        <v>49</v>
      </c>
      <c r="Q47" s="1">
        <v>5.1874999999999998E-2</v>
      </c>
      <c r="R47" s="2">
        <v>20</v>
      </c>
      <c r="S47">
        <v>20</v>
      </c>
      <c r="T47">
        <v>23</v>
      </c>
      <c r="U47">
        <v>14</v>
      </c>
      <c r="V47" t="s">
        <v>19</v>
      </c>
      <c r="W47">
        <v>16</v>
      </c>
      <c r="X47" s="54">
        <f>Table1[[#This Row],[Gender Place]]/$Z$3</f>
        <v>0.18823529411764706</v>
      </c>
    </row>
    <row r="48" spans="2:24" x14ac:dyDescent="0.2">
      <c r="B48">
        <v>314</v>
      </c>
      <c r="C48" t="s">
        <v>159</v>
      </c>
      <c r="E48" t="s">
        <v>160</v>
      </c>
      <c r="F48" s="1">
        <v>0.46527777777777779</v>
      </c>
      <c r="G48" s="1">
        <v>1.8483796296296297E-2</v>
      </c>
      <c r="H48" s="2">
        <v>135</v>
      </c>
      <c r="I48" s="1">
        <v>1.4467592592592592E-3</v>
      </c>
      <c r="J48" s="2">
        <v>31</v>
      </c>
      <c r="K48" s="1">
        <v>2.5208333333333333E-2</v>
      </c>
      <c r="L48" s="2">
        <v>46</v>
      </c>
      <c r="M48" s="1">
        <v>1.4814814814814814E-3</v>
      </c>
      <c r="N48" s="2">
        <v>102</v>
      </c>
      <c r="O48" s="1">
        <v>1.4363425925925925E-2</v>
      </c>
      <c r="P48" s="2">
        <v>41</v>
      </c>
      <c r="Q48" s="1">
        <v>6.1006944444444447E-2</v>
      </c>
      <c r="R48" s="2">
        <v>85</v>
      </c>
      <c r="S48">
        <v>85</v>
      </c>
      <c r="T48">
        <v>22</v>
      </c>
      <c r="U48">
        <v>25</v>
      </c>
      <c r="V48" t="s">
        <v>36</v>
      </c>
      <c r="W48">
        <v>27</v>
      </c>
      <c r="X48" s="54">
        <f>Table1[[#This Row],[Gender Place]]/$Z$2</f>
        <v>0.42857142857142855</v>
      </c>
    </row>
    <row r="49" spans="2:24" x14ac:dyDescent="0.2">
      <c r="B49">
        <v>243</v>
      </c>
      <c r="C49" t="s">
        <v>137</v>
      </c>
      <c r="E49" t="s">
        <v>27</v>
      </c>
      <c r="F49" s="1">
        <v>0.46527777777777779</v>
      </c>
      <c r="G49" s="1">
        <v>1.494212962962963E-2</v>
      </c>
      <c r="H49" s="2">
        <v>117</v>
      </c>
      <c r="I49" s="1">
        <v>1.5625000000000001E-3</v>
      </c>
      <c r="J49" s="2">
        <v>41</v>
      </c>
      <c r="K49" s="1">
        <v>2.5231481481481483E-2</v>
      </c>
      <c r="L49" s="2">
        <v>47</v>
      </c>
      <c r="M49" s="1">
        <v>1.0416666666666667E-3</v>
      </c>
      <c r="N49" s="2">
        <v>42</v>
      </c>
      <c r="O49" s="1">
        <v>1.5648148148148147E-2</v>
      </c>
      <c r="P49" s="2">
        <v>71</v>
      </c>
      <c r="Q49" s="1">
        <v>5.846064814814815E-2</v>
      </c>
      <c r="R49" s="2">
        <v>69</v>
      </c>
      <c r="S49">
        <v>69</v>
      </c>
      <c r="T49">
        <v>22</v>
      </c>
      <c r="U49">
        <v>15</v>
      </c>
      <c r="V49" t="s">
        <v>36</v>
      </c>
      <c r="W49">
        <v>16</v>
      </c>
      <c r="X49" s="54">
        <f>Table1[[#This Row],[Gender Place]]/$Z$2</f>
        <v>0.25396825396825395</v>
      </c>
    </row>
    <row r="50" spans="2:24" x14ac:dyDescent="0.2">
      <c r="B50">
        <v>404</v>
      </c>
      <c r="C50" t="s">
        <v>59</v>
      </c>
      <c r="D50" t="s">
        <v>60</v>
      </c>
      <c r="E50" t="s">
        <v>61</v>
      </c>
      <c r="F50" s="1">
        <v>0.45833333333333331</v>
      </c>
      <c r="G50" s="1">
        <v>1.0578703703703703E-2</v>
      </c>
      <c r="H50" s="2">
        <v>22</v>
      </c>
      <c r="I50" s="1">
        <v>1.3888888888888889E-3</v>
      </c>
      <c r="J50" s="2">
        <v>24</v>
      </c>
      <c r="K50" s="1">
        <v>2.525462962962963E-2</v>
      </c>
      <c r="L50" s="2">
        <v>48</v>
      </c>
      <c r="M50" s="1">
        <v>9.1435185185185185E-4</v>
      </c>
      <c r="N50" s="2">
        <v>21</v>
      </c>
      <c r="O50" s="1">
        <v>1.3657407407407408E-2</v>
      </c>
      <c r="P50" s="2">
        <v>32</v>
      </c>
      <c r="Q50" s="1">
        <v>5.181712962962963E-2</v>
      </c>
      <c r="R50" s="2">
        <v>19</v>
      </c>
      <c r="S50">
        <v>19</v>
      </c>
      <c r="T50">
        <v>24</v>
      </c>
      <c r="U50">
        <v>13</v>
      </c>
      <c r="V50" t="s">
        <v>19</v>
      </c>
      <c r="W50">
        <v>15</v>
      </c>
      <c r="X50" s="54">
        <f>Table1[[#This Row],[Gender Place]]/$Z$3</f>
        <v>0.17647058823529413</v>
      </c>
    </row>
    <row r="51" spans="2:24" x14ac:dyDescent="0.2">
      <c r="B51">
        <v>338</v>
      </c>
      <c r="C51" t="s">
        <v>81</v>
      </c>
      <c r="D51" t="s">
        <v>24</v>
      </c>
      <c r="E51" t="s">
        <v>77</v>
      </c>
      <c r="F51" s="1">
        <v>0.45833333333333331</v>
      </c>
      <c r="G51" s="1">
        <v>1.0520833333333333E-2</v>
      </c>
      <c r="H51" s="2">
        <v>20</v>
      </c>
      <c r="I51" s="1">
        <v>1.1805555555555556E-3</v>
      </c>
      <c r="J51" s="2">
        <v>12</v>
      </c>
      <c r="K51" s="1">
        <v>2.5405092592592594E-2</v>
      </c>
      <c r="L51" s="2">
        <v>49</v>
      </c>
      <c r="M51" s="1">
        <v>1.0648148148148149E-3</v>
      </c>
      <c r="N51" s="2">
        <v>45</v>
      </c>
      <c r="O51" s="1">
        <v>1.5104166666666667E-2</v>
      </c>
      <c r="P51" s="2">
        <v>59</v>
      </c>
      <c r="Q51" s="1">
        <v>5.3298611111111109E-2</v>
      </c>
      <c r="R51" s="2">
        <v>30</v>
      </c>
      <c r="S51">
        <v>30</v>
      </c>
      <c r="T51">
        <v>26</v>
      </c>
      <c r="U51">
        <v>3</v>
      </c>
      <c r="V51" t="s">
        <v>19</v>
      </c>
      <c r="W51">
        <v>23</v>
      </c>
      <c r="X51" s="54">
        <f>Table1[[#This Row],[Gender Place]]/$Z$3</f>
        <v>0.27058823529411763</v>
      </c>
    </row>
    <row r="52" spans="2:24" x14ac:dyDescent="0.2">
      <c r="B52">
        <v>268</v>
      </c>
      <c r="C52" t="s">
        <v>245</v>
      </c>
      <c r="D52" t="s">
        <v>42</v>
      </c>
      <c r="E52" t="s">
        <v>246</v>
      </c>
      <c r="F52" s="1">
        <v>0.46527777777777779</v>
      </c>
      <c r="G52" s="1">
        <v>1.4166666666666666E-2</v>
      </c>
      <c r="H52" s="2">
        <v>107</v>
      </c>
      <c r="I52" s="1">
        <v>2.1296296296296298E-3</v>
      </c>
      <c r="J52" s="2">
        <v>96</v>
      </c>
      <c r="K52" s="1">
        <v>2.5509259259259259E-2</v>
      </c>
      <c r="L52" s="2">
        <v>50</v>
      </c>
      <c r="M52" s="1">
        <v>1.3541666666666667E-3</v>
      </c>
      <c r="N52" s="2">
        <v>88</v>
      </c>
      <c r="O52" s="1">
        <v>2.119212962962963E-2</v>
      </c>
      <c r="P52" s="2">
        <v>139</v>
      </c>
      <c r="Q52" t="s">
        <v>244</v>
      </c>
      <c r="R52" s="2">
        <v>153</v>
      </c>
      <c r="S52">
        <v>0</v>
      </c>
      <c r="T52">
        <v>19</v>
      </c>
      <c r="U52">
        <v>0</v>
      </c>
      <c r="V52" t="s">
        <v>36</v>
      </c>
      <c r="W52">
        <v>0</v>
      </c>
      <c r="X52">
        <f>Table1[[#This Row],[Gender Place]]/$Z$2</f>
        <v>0</v>
      </c>
    </row>
    <row r="53" spans="2:24" x14ac:dyDescent="0.2">
      <c r="B53">
        <v>352</v>
      </c>
      <c r="C53" t="s">
        <v>156</v>
      </c>
      <c r="D53" t="s">
        <v>24</v>
      </c>
      <c r="E53" t="s">
        <v>27</v>
      </c>
      <c r="F53" s="1">
        <v>0.45833333333333331</v>
      </c>
      <c r="G53" s="1">
        <v>1.4594907407407407E-2</v>
      </c>
      <c r="H53" s="2">
        <v>112</v>
      </c>
      <c r="I53" s="1">
        <v>1.2268518518518518E-3</v>
      </c>
      <c r="J53" s="2">
        <v>14</v>
      </c>
      <c r="K53" s="1">
        <v>2.5613425925925925E-2</v>
      </c>
      <c r="L53" s="2">
        <v>51</v>
      </c>
      <c r="M53" s="1">
        <v>1.6898148148148148E-3</v>
      </c>
      <c r="N53" s="2">
        <v>124</v>
      </c>
      <c r="O53" s="1">
        <v>1.6967592592592593E-2</v>
      </c>
      <c r="P53" s="2">
        <v>93</v>
      </c>
      <c r="Q53" s="1">
        <v>6.011574074074074E-2</v>
      </c>
      <c r="R53" s="2">
        <v>82</v>
      </c>
      <c r="S53">
        <v>82</v>
      </c>
      <c r="T53">
        <v>22</v>
      </c>
      <c r="U53">
        <v>51</v>
      </c>
      <c r="V53" t="s">
        <v>19</v>
      </c>
      <c r="W53">
        <v>58</v>
      </c>
      <c r="X53" s="54">
        <f>Table1[[#This Row],[Gender Place]]/$Z$3</f>
        <v>0.68235294117647061</v>
      </c>
    </row>
    <row r="54" spans="2:24" x14ac:dyDescent="0.2">
      <c r="B54">
        <v>330</v>
      </c>
      <c r="C54" t="s">
        <v>104</v>
      </c>
      <c r="D54" t="s">
        <v>34</v>
      </c>
      <c r="E54" t="s">
        <v>45</v>
      </c>
      <c r="F54" s="1">
        <v>0.45833333333333331</v>
      </c>
      <c r="G54" s="1">
        <v>1.0856481481481481E-2</v>
      </c>
      <c r="H54" s="2">
        <v>28</v>
      </c>
      <c r="I54" s="1">
        <v>1.7939814814814815E-3</v>
      </c>
      <c r="J54" s="2">
        <v>63</v>
      </c>
      <c r="K54" s="1">
        <v>2.5659722222222223E-2</v>
      </c>
      <c r="L54" s="2">
        <v>52</v>
      </c>
      <c r="M54" s="1">
        <v>1.8171296296296297E-3</v>
      </c>
      <c r="N54" s="2">
        <v>129</v>
      </c>
      <c r="O54" s="1">
        <v>1.5856481481481482E-2</v>
      </c>
      <c r="P54" s="2">
        <v>75</v>
      </c>
      <c r="Q54" s="1">
        <v>5.6018518518518516E-2</v>
      </c>
      <c r="R54" s="2">
        <v>47</v>
      </c>
      <c r="S54">
        <v>47</v>
      </c>
      <c r="T54">
        <v>19</v>
      </c>
      <c r="U54">
        <v>34</v>
      </c>
      <c r="V54" t="s">
        <v>19</v>
      </c>
      <c r="W54">
        <v>38</v>
      </c>
      <c r="X54" s="54">
        <f>Table1[[#This Row],[Gender Place]]/$Z$3</f>
        <v>0.44705882352941179</v>
      </c>
    </row>
    <row r="55" spans="2:24" x14ac:dyDescent="0.2">
      <c r="B55">
        <v>336</v>
      </c>
      <c r="C55" t="s">
        <v>171</v>
      </c>
      <c r="D55" t="s">
        <v>34</v>
      </c>
      <c r="E55" t="s">
        <v>45</v>
      </c>
      <c r="F55" s="1">
        <v>0.46527777777777779</v>
      </c>
      <c r="G55" s="1">
        <v>1.3819444444444445E-2</v>
      </c>
      <c r="H55" s="2">
        <v>101</v>
      </c>
      <c r="I55" s="1">
        <v>2.685185185185185E-3</v>
      </c>
      <c r="J55" s="2">
        <v>123</v>
      </c>
      <c r="K55" s="1">
        <v>2.568287037037037E-2</v>
      </c>
      <c r="L55" s="2">
        <v>53</v>
      </c>
      <c r="M55" s="1">
        <v>1.1226851851851851E-3</v>
      </c>
      <c r="N55" s="2">
        <v>55</v>
      </c>
      <c r="O55" s="1">
        <v>1.8865740740740742E-2</v>
      </c>
      <c r="P55" s="2">
        <v>121</v>
      </c>
      <c r="Q55" s="1">
        <v>6.21875E-2</v>
      </c>
      <c r="R55" s="2">
        <v>94</v>
      </c>
      <c r="S55">
        <v>94</v>
      </c>
      <c r="T55">
        <v>25</v>
      </c>
      <c r="U55">
        <v>3</v>
      </c>
      <c r="V55" t="s">
        <v>36</v>
      </c>
      <c r="W55">
        <v>32</v>
      </c>
      <c r="X55" s="54">
        <f>Table1[[#This Row],[Gender Place]]/$Z$2</f>
        <v>0.50793650793650791</v>
      </c>
    </row>
    <row r="56" spans="2:24" x14ac:dyDescent="0.2">
      <c r="B56">
        <v>348</v>
      </c>
      <c r="C56" t="s">
        <v>110</v>
      </c>
      <c r="D56" t="s">
        <v>24</v>
      </c>
      <c r="E56" t="s">
        <v>75</v>
      </c>
      <c r="F56" s="1">
        <v>0.46527777777777779</v>
      </c>
      <c r="G56" s="1">
        <v>1.1608796296296296E-2</v>
      </c>
      <c r="H56" s="2">
        <v>46</v>
      </c>
      <c r="I56" s="1">
        <v>2.2685185185185187E-3</v>
      </c>
      <c r="J56" s="2">
        <v>108</v>
      </c>
      <c r="K56" s="1">
        <v>2.582175925925926E-2</v>
      </c>
      <c r="L56" s="2">
        <v>54</v>
      </c>
      <c r="M56" s="1">
        <v>1.4120370370370369E-3</v>
      </c>
      <c r="N56" s="2">
        <v>93</v>
      </c>
      <c r="O56" s="1">
        <v>1.5208333333333334E-2</v>
      </c>
      <c r="P56" s="2">
        <v>63</v>
      </c>
      <c r="Q56" s="1">
        <v>5.6354166666666664E-2</v>
      </c>
      <c r="R56" s="2">
        <v>51</v>
      </c>
      <c r="S56">
        <v>51</v>
      </c>
      <c r="T56">
        <v>20</v>
      </c>
      <c r="U56">
        <v>9</v>
      </c>
      <c r="V56" t="s">
        <v>36</v>
      </c>
      <c r="W56">
        <v>10</v>
      </c>
      <c r="X56" s="54">
        <f>Table1[[#This Row],[Gender Place]]/$Z$2</f>
        <v>0.15873015873015872</v>
      </c>
    </row>
    <row r="57" spans="2:24" x14ac:dyDescent="0.2">
      <c r="B57">
        <v>309</v>
      </c>
      <c r="C57" t="s">
        <v>74</v>
      </c>
      <c r="D57" t="s">
        <v>24</v>
      </c>
      <c r="E57" t="s">
        <v>75</v>
      </c>
      <c r="F57" s="1">
        <v>0.45833333333333331</v>
      </c>
      <c r="G57" s="1">
        <v>1.0347222222222223E-2</v>
      </c>
      <c r="H57" s="2">
        <v>17</v>
      </c>
      <c r="I57" s="1">
        <v>1.8402777777777777E-3</v>
      </c>
      <c r="J57" s="2">
        <v>69</v>
      </c>
      <c r="K57" s="1">
        <v>2.5833333333333333E-2</v>
      </c>
      <c r="L57" s="2">
        <v>55</v>
      </c>
      <c r="M57" s="1">
        <v>1.4699074074074074E-3</v>
      </c>
      <c r="N57" s="2">
        <v>100</v>
      </c>
      <c r="O57" s="1">
        <v>1.3506944444444445E-2</v>
      </c>
      <c r="P57" s="2">
        <v>30</v>
      </c>
      <c r="Q57" s="1">
        <v>5.303240740740741E-2</v>
      </c>
      <c r="R57" s="2">
        <v>26</v>
      </c>
      <c r="S57">
        <v>26</v>
      </c>
      <c r="T57">
        <v>19</v>
      </c>
      <c r="U57">
        <v>18</v>
      </c>
      <c r="V57" t="s">
        <v>19</v>
      </c>
      <c r="W57">
        <v>20</v>
      </c>
      <c r="X57" s="54">
        <f>Table1[[#This Row],[Gender Place]]/$Z$3</f>
        <v>0.23529411764705882</v>
      </c>
    </row>
    <row r="58" spans="2:24" x14ac:dyDescent="0.2">
      <c r="B58">
        <v>291</v>
      </c>
      <c r="C58" t="s">
        <v>132</v>
      </c>
      <c r="D58" t="s">
        <v>21</v>
      </c>
      <c r="E58" t="s">
        <v>133</v>
      </c>
      <c r="F58" s="1">
        <v>0.46527777777777779</v>
      </c>
      <c r="G58" s="1">
        <v>1.136574074074074E-2</v>
      </c>
      <c r="H58" s="2">
        <v>35</v>
      </c>
      <c r="I58" s="1">
        <v>1.5393518518518519E-3</v>
      </c>
      <c r="J58" s="2">
        <v>36</v>
      </c>
      <c r="K58" s="1">
        <v>2.5844907407407407E-2</v>
      </c>
      <c r="L58" s="2">
        <v>56</v>
      </c>
      <c r="M58" s="1">
        <v>1.4699074074074074E-3</v>
      </c>
      <c r="N58" s="2">
        <v>101</v>
      </c>
      <c r="O58" s="1">
        <v>1.7685185185185186E-2</v>
      </c>
      <c r="P58" s="2">
        <v>106</v>
      </c>
      <c r="Q58" s="1">
        <v>5.7928240740740738E-2</v>
      </c>
      <c r="R58" s="2">
        <v>66</v>
      </c>
      <c r="S58">
        <v>66</v>
      </c>
      <c r="T58">
        <v>22</v>
      </c>
      <c r="U58">
        <v>13</v>
      </c>
      <c r="V58" t="s">
        <v>36</v>
      </c>
      <c r="W58">
        <v>14</v>
      </c>
      <c r="X58" s="54">
        <f>Table1[[#This Row],[Gender Place]]/$Z$2</f>
        <v>0.22222222222222221</v>
      </c>
    </row>
    <row r="59" spans="2:24" x14ac:dyDescent="0.2">
      <c r="B59">
        <v>292</v>
      </c>
      <c r="C59" t="s">
        <v>79</v>
      </c>
      <c r="E59" t="s">
        <v>80</v>
      </c>
      <c r="F59" s="1">
        <v>0.45833333333333331</v>
      </c>
      <c r="G59" s="1">
        <v>1.1608796296296296E-2</v>
      </c>
      <c r="H59" s="2">
        <v>45</v>
      </c>
      <c r="I59" s="1">
        <v>1.4583333333333334E-3</v>
      </c>
      <c r="J59" s="2">
        <v>32</v>
      </c>
      <c r="K59" s="1">
        <v>2.585648148148148E-2</v>
      </c>
      <c r="L59" s="2">
        <v>57</v>
      </c>
      <c r="M59" s="1">
        <v>1.4930555555555556E-3</v>
      </c>
      <c r="N59" s="2">
        <v>104</v>
      </c>
      <c r="O59" s="1">
        <v>1.2847222222222222E-2</v>
      </c>
      <c r="P59" s="2">
        <v>15</v>
      </c>
      <c r="Q59" s="1">
        <v>5.3275462962962962E-2</v>
      </c>
      <c r="R59" s="2">
        <v>29</v>
      </c>
      <c r="S59">
        <v>29</v>
      </c>
      <c r="T59">
        <v>21</v>
      </c>
      <c r="U59">
        <v>20</v>
      </c>
      <c r="V59" t="s">
        <v>19</v>
      </c>
      <c r="W59">
        <v>22</v>
      </c>
      <c r="X59" s="54">
        <f>Table1[[#This Row],[Gender Place]]/$Z$3</f>
        <v>0.25882352941176473</v>
      </c>
    </row>
    <row r="60" spans="2:24" x14ac:dyDescent="0.2">
      <c r="B60">
        <v>319</v>
      </c>
      <c r="C60" t="s">
        <v>102</v>
      </c>
      <c r="D60" t="s">
        <v>34</v>
      </c>
      <c r="E60" t="s">
        <v>45</v>
      </c>
      <c r="F60" s="1">
        <v>0.45833333333333331</v>
      </c>
      <c r="G60" s="1">
        <v>1.2627314814814815E-2</v>
      </c>
      <c r="H60" s="2">
        <v>74</v>
      </c>
      <c r="I60" s="1">
        <v>1.724537037037037E-3</v>
      </c>
      <c r="J60" s="2">
        <v>58</v>
      </c>
      <c r="K60" s="1">
        <v>2.6087962962962962E-2</v>
      </c>
      <c r="L60" s="2">
        <v>58</v>
      </c>
      <c r="M60" s="1">
        <v>1.4351851851851852E-3</v>
      </c>
      <c r="N60" s="2">
        <v>98</v>
      </c>
      <c r="O60" s="1">
        <v>1.3657407407407408E-2</v>
      </c>
      <c r="P60" s="2">
        <v>33</v>
      </c>
      <c r="Q60" s="1">
        <v>5.5555555555555552E-2</v>
      </c>
      <c r="R60" s="2">
        <v>45</v>
      </c>
      <c r="S60">
        <v>45</v>
      </c>
      <c r="T60">
        <v>19</v>
      </c>
      <c r="U60">
        <v>33</v>
      </c>
      <c r="V60" t="s">
        <v>19</v>
      </c>
      <c r="W60">
        <v>36</v>
      </c>
      <c r="X60" s="54">
        <f>Table1[[#This Row],[Gender Place]]/$Z$3</f>
        <v>0.42352941176470588</v>
      </c>
    </row>
    <row r="61" spans="2:24" x14ac:dyDescent="0.2">
      <c r="B61">
        <v>364</v>
      </c>
      <c r="C61" t="s">
        <v>105</v>
      </c>
      <c r="E61" t="s">
        <v>106</v>
      </c>
      <c r="F61" s="1">
        <v>0.45833333333333331</v>
      </c>
      <c r="G61" s="1">
        <v>1.0995370370370371E-2</v>
      </c>
      <c r="H61" s="2">
        <v>31</v>
      </c>
      <c r="I61" s="1">
        <v>2.2222222222222222E-3</v>
      </c>
      <c r="J61" s="2">
        <v>102</v>
      </c>
      <c r="K61" s="1">
        <v>2.6099537037037036E-2</v>
      </c>
      <c r="L61" s="2">
        <v>59</v>
      </c>
      <c r="M61" s="1">
        <v>2.0023148148148148E-3</v>
      </c>
      <c r="N61" s="2">
        <v>135</v>
      </c>
      <c r="O61" s="1">
        <v>1.4722222222222222E-2</v>
      </c>
      <c r="P61" s="2">
        <v>48</v>
      </c>
      <c r="Q61" s="1">
        <v>5.6053240740740744E-2</v>
      </c>
      <c r="R61" s="2">
        <v>48</v>
      </c>
      <c r="S61">
        <v>48</v>
      </c>
      <c r="T61">
        <v>30</v>
      </c>
      <c r="U61">
        <v>1</v>
      </c>
      <c r="V61" t="s">
        <v>19</v>
      </c>
      <c r="W61">
        <v>39</v>
      </c>
      <c r="X61" s="54">
        <f>Table1[[#This Row],[Gender Place]]/$Z$3</f>
        <v>0.45882352941176469</v>
      </c>
    </row>
    <row r="62" spans="2:24" x14ac:dyDescent="0.2">
      <c r="B62">
        <v>237</v>
      </c>
      <c r="C62" t="s">
        <v>108</v>
      </c>
      <c r="D62" t="s">
        <v>29</v>
      </c>
      <c r="E62" t="s">
        <v>109</v>
      </c>
      <c r="F62" s="1">
        <v>0.45833333333333331</v>
      </c>
      <c r="G62" s="1">
        <v>1.2361111111111111E-2</v>
      </c>
      <c r="H62" s="2">
        <v>61</v>
      </c>
      <c r="I62" s="1">
        <v>1.9444444444444444E-3</v>
      </c>
      <c r="J62" s="2">
        <v>82</v>
      </c>
      <c r="K62" s="1">
        <v>2.6203703703703705E-2</v>
      </c>
      <c r="L62" s="2">
        <v>60</v>
      </c>
      <c r="M62" s="1">
        <v>8.9120370370370373E-4</v>
      </c>
      <c r="N62" s="2">
        <v>17</v>
      </c>
      <c r="O62" s="1">
        <v>1.4849537037037038E-2</v>
      </c>
      <c r="P62" s="2">
        <v>54</v>
      </c>
      <c r="Q62" s="1">
        <v>5.6261574074074075E-2</v>
      </c>
      <c r="R62" s="2">
        <v>50</v>
      </c>
      <c r="S62">
        <v>50</v>
      </c>
      <c r="T62">
        <v>18</v>
      </c>
      <c r="U62">
        <v>36</v>
      </c>
      <c r="V62" t="s">
        <v>19</v>
      </c>
      <c r="W62">
        <v>41</v>
      </c>
      <c r="X62" s="54">
        <f>Table1[[#This Row],[Gender Place]]/$Z$3</f>
        <v>0.4823529411764706</v>
      </c>
    </row>
    <row r="63" spans="2:24" x14ac:dyDescent="0.2">
      <c r="B63">
        <v>372</v>
      </c>
      <c r="C63" t="s">
        <v>127</v>
      </c>
      <c r="D63" t="s">
        <v>128</v>
      </c>
      <c r="E63" t="s">
        <v>129</v>
      </c>
      <c r="F63" s="1">
        <v>0.45833333333333331</v>
      </c>
      <c r="G63" s="1">
        <v>1.019675925925926E-2</v>
      </c>
      <c r="H63" s="2">
        <v>13</v>
      </c>
      <c r="I63" s="1">
        <v>2.1643518518518518E-3</v>
      </c>
      <c r="J63" s="2">
        <v>97</v>
      </c>
      <c r="K63" s="1">
        <v>2.6226851851851852E-2</v>
      </c>
      <c r="L63" s="2">
        <v>61</v>
      </c>
      <c r="M63" s="1">
        <v>1.5393518518518519E-3</v>
      </c>
      <c r="N63" s="2">
        <v>110</v>
      </c>
      <c r="O63" s="1">
        <v>1.7673611111111112E-2</v>
      </c>
      <c r="P63" s="2">
        <v>105</v>
      </c>
      <c r="Q63" s="1">
        <v>5.7812500000000003E-2</v>
      </c>
      <c r="R63" s="2">
        <v>64</v>
      </c>
      <c r="S63">
        <v>64</v>
      </c>
      <c r="T63">
        <v>23</v>
      </c>
      <c r="U63">
        <v>46</v>
      </c>
      <c r="V63" t="s">
        <v>19</v>
      </c>
      <c r="W63">
        <v>51</v>
      </c>
      <c r="X63" s="54">
        <f>Table1[[#This Row],[Gender Place]]/$Z$3</f>
        <v>0.6</v>
      </c>
    </row>
    <row r="64" spans="2:24" x14ac:dyDescent="0.2">
      <c r="B64">
        <v>346</v>
      </c>
      <c r="C64" t="s">
        <v>163</v>
      </c>
      <c r="E64" t="s">
        <v>164</v>
      </c>
      <c r="F64" s="1">
        <v>0.45833333333333331</v>
      </c>
      <c r="G64" s="1">
        <v>1.5104166666666667E-2</v>
      </c>
      <c r="H64" s="2">
        <v>120</v>
      </c>
      <c r="I64" s="1">
        <v>2.1875000000000002E-3</v>
      </c>
      <c r="J64" s="2">
        <v>99</v>
      </c>
      <c r="K64" s="1">
        <v>2.6319444444444444E-2</v>
      </c>
      <c r="L64" s="2">
        <v>62</v>
      </c>
      <c r="M64" s="1">
        <v>1.5972222222222223E-3</v>
      </c>
      <c r="N64" s="2">
        <v>119</v>
      </c>
      <c r="O64" s="1">
        <v>1.6006944444444445E-2</v>
      </c>
      <c r="P64" s="2">
        <v>77</v>
      </c>
      <c r="Q64" s="1">
        <v>6.1249999999999999E-2</v>
      </c>
      <c r="R64" s="2">
        <v>88</v>
      </c>
      <c r="S64">
        <v>88</v>
      </c>
      <c r="T64">
        <v>20</v>
      </c>
      <c r="U64">
        <v>53</v>
      </c>
      <c r="V64" t="s">
        <v>19</v>
      </c>
      <c r="W64">
        <v>60</v>
      </c>
      <c r="X64" s="54">
        <f>Table1[[#This Row],[Gender Place]]/$Z$3</f>
        <v>0.70588235294117652</v>
      </c>
    </row>
    <row r="65" spans="2:24" x14ac:dyDescent="0.2">
      <c r="B65">
        <v>228</v>
      </c>
      <c r="C65" t="s">
        <v>139</v>
      </c>
      <c r="D65" t="s">
        <v>34</v>
      </c>
      <c r="E65" t="s">
        <v>45</v>
      </c>
      <c r="F65" s="1">
        <v>0.46527777777777779</v>
      </c>
      <c r="G65" s="1">
        <v>1.136574074074074E-2</v>
      </c>
      <c r="H65" s="2">
        <v>36</v>
      </c>
      <c r="I65" s="1">
        <v>1.5740740740740741E-3</v>
      </c>
      <c r="J65" s="2">
        <v>42</v>
      </c>
      <c r="K65" s="1">
        <v>2.642361111111111E-2</v>
      </c>
      <c r="L65" s="2">
        <v>63</v>
      </c>
      <c r="M65" s="1">
        <v>1.1226851851851851E-3</v>
      </c>
      <c r="N65" s="2">
        <v>56</v>
      </c>
      <c r="O65" s="1">
        <v>1.8032407407407407E-2</v>
      </c>
      <c r="P65" s="2">
        <v>112</v>
      </c>
      <c r="Q65" s="1">
        <v>5.8541666666666665E-2</v>
      </c>
      <c r="R65" s="2">
        <v>71</v>
      </c>
      <c r="S65">
        <v>71</v>
      </c>
      <c r="T65">
        <v>20</v>
      </c>
      <c r="U65">
        <v>16</v>
      </c>
      <c r="V65" t="s">
        <v>36</v>
      </c>
      <c r="W65">
        <v>17</v>
      </c>
      <c r="X65" s="54">
        <f>Table1[[#This Row],[Gender Place]]/$Z$2</f>
        <v>0.26984126984126983</v>
      </c>
    </row>
    <row r="66" spans="2:24" x14ac:dyDescent="0.2">
      <c r="B66">
        <v>230</v>
      </c>
      <c r="C66" t="s">
        <v>201</v>
      </c>
      <c r="D66" t="s">
        <v>145</v>
      </c>
      <c r="E66" t="s">
        <v>146</v>
      </c>
      <c r="F66" s="1">
        <v>0.45833333333333331</v>
      </c>
      <c r="G66" s="1">
        <v>1.8402777777777778E-2</v>
      </c>
      <c r="H66" s="2">
        <v>134</v>
      </c>
      <c r="I66" s="1">
        <v>1.8865740740740742E-3</v>
      </c>
      <c r="J66" s="2">
        <v>77</v>
      </c>
      <c r="K66" s="1">
        <v>2.6539351851851852E-2</v>
      </c>
      <c r="L66" s="2">
        <v>64</v>
      </c>
      <c r="M66" s="1">
        <v>2.7546296296296294E-3</v>
      </c>
      <c r="N66" s="2">
        <v>146</v>
      </c>
      <c r="O66" s="1">
        <v>1.6261574074074074E-2</v>
      </c>
      <c r="P66" s="2">
        <v>81</v>
      </c>
      <c r="Q66" s="1">
        <v>6.5868055555555555E-2</v>
      </c>
      <c r="R66" s="2">
        <v>115</v>
      </c>
      <c r="S66">
        <v>115</v>
      </c>
      <c r="T66">
        <v>25</v>
      </c>
      <c r="U66">
        <v>6</v>
      </c>
      <c r="V66" t="s">
        <v>19</v>
      </c>
      <c r="W66">
        <v>72</v>
      </c>
      <c r="X66" s="54">
        <f>Table1[[#This Row],[Gender Place]]/$Z$3</f>
        <v>0.84705882352941175</v>
      </c>
    </row>
    <row r="67" spans="2:24" x14ac:dyDescent="0.2">
      <c r="B67">
        <v>370</v>
      </c>
      <c r="C67" t="s">
        <v>134</v>
      </c>
      <c r="E67" t="s">
        <v>106</v>
      </c>
      <c r="F67" s="1">
        <v>0.45833333333333331</v>
      </c>
      <c r="G67" s="1">
        <v>1.3148148148148148E-2</v>
      </c>
      <c r="H67" s="2">
        <v>91</v>
      </c>
      <c r="I67" s="1">
        <v>2.2916666666666667E-3</v>
      </c>
      <c r="J67" s="2">
        <v>110</v>
      </c>
      <c r="K67" s="1">
        <v>2.6562499999999999E-2</v>
      </c>
      <c r="L67" s="2">
        <v>65</v>
      </c>
      <c r="M67" s="1">
        <v>1.1689814814814816E-3</v>
      </c>
      <c r="N67" s="2">
        <v>62</v>
      </c>
      <c r="O67" s="1">
        <v>1.4780092592592593E-2</v>
      </c>
      <c r="P67" s="2">
        <v>51</v>
      </c>
      <c r="Q67" s="1">
        <v>5.7962962962962966E-2</v>
      </c>
      <c r="R67" s="2">
        <v>67</v>
      </c>
      <c r="S67">
        <v>67</v>
      </c>
      <c r="T67">
        <v>25</v>
      </c>
      <c r="U67">
        <v>5</v>
      </c>
      <c r="V67" t="s">
        <v>19</v>
      </c>
      <c r="W67">
        <v>53</v>
      </c>
      <c r="X67" s="54">
        <f>Table1[[#This Row],[Gender Place]]/$Z$3</f>
        <v>0.62352941176470589</v>
      </c>
    </row>
    <row r="68" spans="2:24" x14ac:dyDescent="0.2">
      <c r="B68">
        <v>353</v>
      </c>
      <c r="C68" t="s">
        <v>143</v>
      </c>
      <c r="D68" t="s">
        <v>24</v>
      </c>
      <c r="E68" t="s">
        <v>77</v>
      </c>
      <c r="F68" s="1">
        <v>0.46527777777777779</v>
      </c>
      <c r="G68" s="1">
        <v>1.2534722222222221E-2</v>
      </c>
      <c r="H68" s="2">
        <v>68</v>
      </c>
      <c r="I68" s="1">
        <v>1.5509259259259259E-3</v>
      </c>
      <c r="J68" s="2">
        <v>38</v>
      </c>
      <c r="K68" s="1">
        <v>2.6574074074074073E-2</v>
      </c>
      <c r="L68" s="2">
        <v>66</v>
      </c>
      <c r="M68" s="1">
        <v>1.5625000000000001E-3</v>
      </c>
      <c r="N68" s="2">
        <v>113</v>
      </c>
      <c r="O68" s="1">
        <v>1.7372685185185185E-2</v>
      </c>
      <c r="P68" s="2">
        <v>98</v>
      </c>
      <c r="Q68" s="1">
        <v>5.9618055555555556E-2</v>
      </c>
      <c r="R68" s="2">
        <v>74</v>
      </c>
      <c r="S68">
        <v>74</v>
      </c>
      <c r="T68">
        <v>20</v>
      </c>
      <c r="U68">
        <v>19</v>
      </c>
      <c r="V68" t="s">
        <v>36</v>
      </c>
      <c r="W68">
        <v>20</v>
      </c>
      <c r="X68" s="54">
        <f>Table1[[#This Row],[Gender Place]]/$Z$2</f>
        <v>0.31746031746031744</v>
      </c>
    </row>
    <row r="69" spans="2:24" x14ac:dyDescent="0.2">
      <c r="B69">
        <v>277</v>
      </c>
      <c r="C69" t="s">
        <v>121</v>
      </c>
      <c r="D69" t="s">
        <v>42</v>
      </c>
      <c r="E69" t="s">
        <v>117</v>
      </c>
      <c r="F69" s="1">
        <v>0.45833333333333331</v>
      </c>
      <c r="G69" s="1">
        <v>1.193287037037037E-2</v>
      </c>
      <c r="H69" s="2">
        <v>54</v>
      </c>
      <c r="I69" s="1">
        <v>1.6435185185185185E-3</v>
      </c>
      <c r="J69" s="2">
        <v>48</v>
      </c>
      <c r="K69" s="1">
        <v>2.6597222222222223E-2</v>
      </c>
      <c r="L69" s="2">
        <v>67</v>
      </c>
      <c r="M69" s="1">
        <v>1.5740740740740741E-3</v>
      </c>
      <c r="N69" s="2">
        <v>115</v>
      </c>
      <c r="O69" s="1">
        <v>1.5520833333333333E-2</v>
      </c>
      <c r="P69" s="2">
        <v>69</v>
      </c>
      <c r="Q69" s="1">
        <v>5.7291666666666664E-2</v>
      </c>
      <c r="R69" s="2">
        <v>60</v>
      </c>
      <c r="S69">
        <v>60</v>
      </c>
      <c r="T69">
        <v>21</v>
      </c>
      <c r="U69">
        <v>43</v>
      </c>
      <c r="V69" t="s">
        <v>19</v>
      </c>
      <c r="W69">
        <v>48</v>
      </c>
      <c r="X69" s="54">
        <f>Table1[[#This Row],[Gender Place]]/$Z$3</f>
        <v>0.56470588235294117</v>
      </c>
    </row>
    <row r="70" spans="2:24" x14ac:dyDescent="0.2">
      <c r="B70">
        <v>332</v>
      </c>
      <c r="C70" t="s">
        <v>212</v>
      </c>
      <c r="E70" t="s">
        <v>213</v>
      </c>
      <c r="F70" s="1">
        <v>0.45833333333333331</v>
      </c>
      <c r="G70" s="1">
        <v>2.0706018518518519E-2</v>
      </c>
      <c r="H70" s="2">
        <v>139</v>
      </c>
      <c r="I70" s="1">
        <v>2.8240740740740739E-3</v>
      </c>
      <c r="J70" s="2">
        <v>129</v>
      </c>
      <c r="K70" s="1">
        <v>2.6712962962962963E-2</v>
      </c>
      <c r="L70" s="2">
        <v>68</v>
      </c>
      <c r="M70" s="1">
        <v>1.3773148148148147E-3</v>
      </c>
      <c r="N70" s="2">
        <v>91</v>
      </c>
      <c r="O70" s="1">
        <v>1.7500000000000002E-2</v>
      </c>
      <c r="P70" s="2">
        <v>102</v>
      </c>
      <c r="Q70" s="1">
        <v>6.9143518518518521E-2</v>
      </c>
      <c r="R70" s="2">
        <v>124</v>
      </c>
      <c r="S70">
        <v>124</v>
      </c>
      <c r="T70">
        <v>24</v>
      </c>
      <c r="U70">
        <v>66</v>
      </c>
      <c r="V70" t="s">
        <v>19</v>
      </c>
      <c r="W70">
        <v>75</v>
      </c>
      <c r="X70" s="54">
        <f>Table1[[#This Row],[Gender Place]]/$Z$3</f>
        <v>0.88235294117647056</v>
      </c>
    </row>
    <row r="71" spans="2:24" x14ac:dyDescent="0.2">
      <c r="B71">
        <v>325</v>
      </c>
      <c r="C71" t="s">
        <v>76</v>
      </c>
      <c r="D71" t="s">
        <v>24</v>
      </c>
      <c r="E71" t="s">
        <v>77</v>
      </c>
      <c r="F71" s="1">
        <v>0.45833333333333331</v>
      </c>
      <c r="G71" s="1">
        <v>9.0393518518518522E-3</v>
      </c>
      <c r="H71" s="2">
        <v>8</v>
      </c>
      <c r="I71" s="1">
        <v>1.6782407407407408E-3</v>
      </c>
      <c r="J71" s="2">
        <v>52</v>
      </c>
      <c r="K71" s="1">
        <v>2.6782407407407408E-2</v>
      </c>
      <c r="L71" s="2">
        <v>69</v>
      </c>
      <c r="M71" s="1">
        <v>1.3310185185185185E-3</v>
      </c>
      <c r="N71" s="2">
        <v>87</v>
      </c>
      <c r="O71" s="1">
        <v>1.4386574074074074E-2</v>
      </c>
      <c r="P71" s="2">
        <v>42</v>
      </c>
      <c r="Q71" s="1">
        <v>5.3240740740740741E-2</v>
      </c>
      <c r="R71" s="2">
        <v>27</v>
      </c>
      <c r="S71">
        <v>27</v>
      </c>
      <c r="T71">
        <v>22</v>
      </c>
      <c r="U71">
        <v>19</v>
      </c>
      <c r="V71" t="s">
        <v>19</v>
      </c>
      <c r="W71">
        <v>21</v>
      </c>
      <c r="X71" s="54">
        <f>Table1[[#This Row],[Gender Place]]/$Z$3</f>
        <v>0.24705882352941178</v>
      </c>
    </row>
    <row r="72" spans="2:24" x14ac:dyDescent="0.2">
      <c r="B72">
        <v>225</v>
      </c>
      <c r="C72" t="s">
        <v>177</v>
      </c>
      <c r="D72" t="s">
        <v>21</v>
      </c>
      <c r="E72" t="s">
        <v>133</v>
      </c>
      <c r="F72" s="1">
        <v>0.45833333333333331</v>
      </c>
      <c r="G72" s="1">
        <v>1.3206018518518518E-2</v>
      </c>
      <c r="H72" s="2">
        <v>92</v>
      </c>
      <c r="I72" s="1">
        <v>3.6921296296296298E-3</v>
      </c>
      <c r="J72" s="2">
        <v>141</v>
      </c>
      <c r="K72" s="1">
        <v>2.6851851851851852E-2</v>
      </c>
      <c r="L72" s="2">
        <v>70</v>
      </c>
      <c r="M72" s="1">
        <v>2.2685185185185187E-3</v>
      </c>
      <c r="N72" s="2">
        <v>140</v>
      </c>
      <c r="O72" s="1">
        <v>1.6643518518518519E-2</v>
      </c>
      <c r="P72" s="2">
        <v>89</v>
      </c>
      <c r="Q72" s="1">
        <v>6.2696759259259258E-2</v>
      </c>
      <c r="R72" s="2">
        <v>98</v>
      </c>
      <c r="S72">
        <v>98</v>
      </c>
      <c r="T72">
        <v>20</v>
      </c>
      <c r="U72">
        <v>57</v>
      </c>
      <c r="V72" t="s">
        <v>19</v>
      </c>
      <c r="W72">
        <v>64</v>
      </c>
      <c r="X72" s="54">
        <f>Table1[[#This Row],[Gender Place]]/$Z$3</f>
        <v>0.75294117647058822</v>
      </c>
    </row>
    <row r="73" spans="2:24" x14ac:dyDescent="0.2">
      <c r="B73">
        <v>261</v>
      </c>
      <c r="C73" t="s">
        <v>144</v>
      </c>
      <c r="D73" t="s">
        <v>145</v>
      </c>
      <c r="E73" t="s">
        <v>146</v>
      </c>
      <c r="F73" s="1">
        <v>0.46527777777777779</v>
      </c>
      <c r="G73" s="1">
        <v>1.3217592592592593E-2</v>
      </c>
      <c r="H73" s="2">
        <v>94</v>
      </c>
      <c r="I73" s="1">
        <v>1.712962962962963E-3</v>
      </c>
      <c r="J73" s="2">
        <v>57</v>
      </c>
      <c r="K73" s="1">
        <v>2.6921296296296297E-2</v>
      </c>
      <c r="L73" s="2">
        <v>71</v>
      </c>
      <c r="M73" s="1">
        <v>1.0532407407407407E-3</v>
      </c>
      <c r="N73" s="2">
        <v>43</v>
      </c>
      <c r="O73" s="1">
        <v>1.6805555555555556E-2</v>
      </c>
      <c r="P73" s="2">
        <v>92</v>
      </c>
      <c r="Q73" s="1">
        <v>5.9722222222222225E-2</v>
      </c>
      <c r="R73" s="2">
        <v>75</v>
      </c>
      <c r="S73">
        <v>75</v>
      </c>
      <c r="T73">
        <v>28</v>
      </c>
      <c r="U73">
        <v>2</v>
      </c>
      <c r="V73" t="s">
        <v>36</v>
      </c>
      <c r="W73">
        <v>21</v>
      </c>
      <c r="X73" s="54">
        <f>Table1[[#This Row],[Gender Place]]/$Z$2</f>
        <v>0.33333333333333331</v>
      </c>
    </row>
    <row r="74" spans="2:24" x14ac:dyDescent="0.2">
      <c r="B74">
        <v>234</v>
      </c>
      <c r="C74" t="s">
        <v>161</v>
      </c>
      <c r="D74" t="s">
        <v>40</v>
      </c>
      <c r="E74" t="s">
        <v>58</v>
      </c>
      <c r="F74" s="1">
        <v>0.45833333333333331</v>
      </c>
      <c r="G74" s="1">
        <v>1.53125E-2</v>
      </c>
      <c r="H74" s="2">
        <v>125</v>
      </c>
      <c r="I74" s="1">
        <v>2.3148148148148147E-3</v>
      </c>
      <c r="J74" s="2">
        <v>111</v>
      </c>
      <c r="K74" s="1">
        <v>2.6990740740740742E-2</v>
      </c>
      <c r="L74" s="2">
        <v>72</v>
      </c>
      <c r="M74" s="1">
        <v>1.25E-3</v>
      </c>
      <c r="N74" s="2">
        <v>77</v>
      </c>
      <c r="O74" s="1">
        <v>1.5162037037037036E-2</v>
      </c>
      <c r="P74" s="2">
        <v>62</v>
      </c>
      <c r="Q74" s="1">
        <v>6.1053240740740741E-2</v>
      </c>
      <c r="R74" s="2">
        <v>86</v>
      </c>
      <c r="S74">
        <v>86</v>
      </c>
      <c r="T74">
        <v>24</v>
      </c>
      <c r="U74">
        <v>52</v>
      </c>
      <c r="V74" t="s">
        <v>19</v>
      </c>
      <c r="W74">
        <v>59</v>
      </c>
      <c r="X74" s="54">
        <f>Table1[[#This Row],[Gender Place]]/$Z$3</f>
        <v>0.69411764705882351</v>
      </c>
    </row>
    <row r="75" spans="2:24" x14ac:dyDescent="0.2">
      <c r="B75">
        <v>245</v>
      </c>
      <c r="C75" t="s">
        <v>125</v>
      </c>
      <c r="D75" t="s">
        <v>21</v>
      </c>
      <c r="E75" t="s">
        <v>126</v>
      </c>
      <c r="F75" s="1">
        <v>0.45833333333333331</v>
      </c>
      <c r="G75" s="1">
        <v>1.3009259259259259E-2</v>
      </c>
      <c r="H75" s="2">
        <v>88</v>
      </c>
      <c r="I75" s="1">
        <v>2.0370370370370369E-3</v>
      </c>
      <c r="J75" s="2">
        <v>88</v>
      </c>
      <c r="K75" s="1">
        <v>2.7013888888888889E-2</v>
      </c>
      <c r="L75" s="2">
        <v>73</v>
      </c>
      <c r="M75" s="1">
        <v>1.238425925925926E-3</v>
      </c>
      <c r="N75" s="2">
        <v>75</v>
      </c>
      <c r="O75" s="1">
        <v>1.4444444444444444E-2</v>
      </c>
      <c r="P75" s="2">
        <v>44</v>
      </c>
      <c r="Q75" s="1">
        <v>5.7777777777777775E-2</v>
      </c>
      <c r="R75" s="2">
        <v>63</v>
      </c>
      <c r="S75">
        <v>63</v>
      </c>
      <c r="T75">
        <v>19</v>
      </c>
      <c r="U75">
        <v>45</v>
      </c>
      <c r="V75" t="s">
        <v>19</v>
      </c>
      <c r="W75">
        <v>50</v>
      </c>
      <c r="X75" s="54">
        <f>Table1[[#This Row],[Gender Place]]/$Z$3</f>
        <v>0.58823529411764708</v>
      </c>
    </row>
    <row r="76" spans="2:24" x14ac:dyDescent="0.2">
      <c r="B76">
        <v>258</v>
      </c>
      <c r="C76" t="s">
        <v>198</v>
      </c>
      <c r="D76" t="s">
        <v>21</v>
      </c>
      <c r="E76" t="s">
        <v>120</v>
      </c>
      <c r="F76" s="1">
        <v>0.45833333333333331</v>
      </c>
      <c r="G76" s="1">
        <v>1.5844907407407408E-2</v>
      </c>
      <c r="H76" s="2">
        <v>128</v>
      </c>
      <c r="I76" s="1">
        <v>2.2453703703703702E-3</v>
      </c>
      <c r="J76" s="2">
        <v>106</v>
      </c>
      <c r="K76" s="1">
        <v>2.7060185185185184E-2</v>
      </c>
      <c r="L76" s="2">
        <v>74</v>
      </c>
      <c r="M76" s="1">
        <v>1.5856481481481481E-3</v>
      </c>
      <c r="N76" s="2">
        <v>118</v>
      </c>
      <c r="O76" s="1">
        <v>1.8842592592592591E-2</v>
      </c>
      <c r="P76" s="2">
        <v>120</v>
      </c>
      <c r="Q76" s="1">
        <v>6.5590277777777775E-2</v>
      </c>
      <c r="R76" s="2">
        <v>113</v>
      </c>
      <c r="S76">
        <v>113</v>
      </c>
      <c r="T76">
        <v>19</v>
      </c>
      <c r="U76">
        <v>62</v>
      </c>
      <c r="V76" t="s">
        <v>19</v>
      </c>
      <c r="W76">
        <v>70</v>
      </c>
      <c r="X76" s="54">
        <f>Table1[[#This Row],[Gender Place]]/$Z$3</f>
        <v>0.82352941176470584</v>
      </c>
    </row>
    <row r="77" spans="2:24" x14ac:dyDescent="0.2">
      <c r="B77">
        <v>262</v>
      </c>
      <c r="C77" t="s">
        <v>103</v>
      </c>
      <c r="D77" t="s">
        <v>72</v>
      </c>
      <c r="E77" t="s">
        <v>64</v>
      </c>
      <c r="F77" s="1">
        <v>0.45833333333333331</v>
      </c>
      <c r="G77" s="1">
        <v>9.0972222222222218E-3</v>
      </c>
      <c r="H77" s="2">
        <v>10</v>
      </c>
      <c r="I77" s="1">
        <v>1.7824074074074075E-3</v>
      </c>
      <c r="J77" s="2">
        <v>61</v>
      </c>
      <c r="K77" s="1">
        <v>2.7129629629629629E-2</v>
      </c>
      <c r="L77" s="2">
        <v>75</v>
      </c>
      <c r="M77" s="1">
        <v>1.0648148148148149E-3</v>
      </c>
      <c r="N77" s="2">
        <v>46</v>
      </c>
      <c r="O77" s="1">
        <v>1.6585648148148148E-2</v>
      </c>
      <c r="P77" s="2">
        <v>87</v>
      </c>
      <c r="Q77" s="1">
        <v>5.5671296296296295E-2</v>
      </c>
      <c r="R77" s="2">
        <v>46</v>
      </c>
      <c r="S77">
        <v>46</v>
      </c>
      <c r="T77">
        <v>26</v>
      </c>
      <c r="U77">
        <v>4</v>
      </c>
      <c r="V77" t="s">
        <v>19</v>
      </c>
      <c r="W77">
        <v>37</v>
      </c>
      <c r="X77" s="54">
        <f>Table1[[#This Row],[Gender Place]]/$Z$3</f>
        <v>0.43529411764705883</v>
      </c>
    </row>
    <row r="78" spans="2:24" x14ac:dyDescent="0.2">
      <c r="B78">
        <v>2</v>
      </c>
      <c r="C78" t="s">
        <v>154</v>
      </c>
      <c r="D78" t="s">
        <v>29</v>
      </c>
      <c r="E78" t="s">
        <v>155</v>
      </c>
      <c r="F78" s="1">
        <v>0.45833333333333331</v>
      </c>
      <c r="G78" s="1">
        <v>1.2916666666666667E-2</v>
      </c>
      <c r="H78" s="2">
        <v>87</v>
      </c>
      <c r="I78" s="1">
        <v>1.8634259259259259E-3</v>
      </c>
      <c r="J78" s="2">
        <v>70</v>
      </c>
      <c r="K78" s="1">
        <v>2.7210648148148147E-2</v>
      </c>
      <c r="L78" s="2">
        <v>76</v>
      </c>
      <c r="M78" s="1">
        <v>1.6319444444444445E-3</v>
      </c>
      <c r="N78" s="2">
        <v>121</v>
      </c>
      <c r="O78" s="1">
        <v>1.6377314814814813E-2</v>
      </c>
      <c r="P78" s="2">
        <v>85</v>
      </c>
      <c r="Q78" s="1">
        <v>6.0011574074074071E-2</v>
      </c>
      <c r="R78" s="2">
        <v>81</v>
      </c>
      <c r="S78">
        <v>81</v>
      </c>
      <c r="T78">
        <v>20</v>
      </c>
      <c r="U78">
        <v>50</v>
      </c>
      <c r="V78" t="s">
        <v>19</v>
      </c>
      <c r="W78">
        <v>57</v>
      </c>
      <c r="X78" s="54">
        <f>Table1[[#This Row],[Gender Place]]/$Z$3</f>
        <v>0.6705882352941176</v>
      </c>
    </row>
    <row r="79" spans="2:24" x14ac:dyDescent="0.2">
      <c r="B79">
        <v>337</v>
      </c>
      <c r="C79" t="s">
        <v>157</v>
      </c>
      <c r="E79" t="s">
        <v>77</v>
      </c>
      <c r="F79" s="1">
        <v>0.46527777777777779</v>
      </c>
      <c r="G79" s="1">
        <v>1.0648148148148148E-2</v>
      </c>
      <c r="H79" s="2">
        <v>23</v>
      </c>
      <c r="I79" s="1">
        <v>1.6435185185185185E-3</v>
      </c>
      <c r="J79" s="2">
        <v>46</v>
      </c>
      <c r="K79" s="1">
        <v>2.7280092592592592E-2</v>
      </c>
      <c r="L79" s="2">
        <v>77</v>
      </c>
      <c r="M79" s="1">
        <v>1.3194444444444445E-3</v>
      </c>
      <c r="N79" s="2">
        <v>85</v>
      </c>
      <c r="O79" s="1">
        <v>1.9490740740740739E-2</v>
      </c>
      <c r="P79" s="2">
        <v>129</v>
      </c>
      <c r="Q79" s="1">
        <v>6.039351851851852E-2</v>
      </c>
      <c r="R79" s="2">
        <v>83</v>
      </c>
      <c r="S79">
        <v>83</v>
      </c>
      <c r="T79">
        <v>20</v>
      </c>
      <c r="U79">
        <v>23</v>
      </c>
      <c r="V79" t="s">
        <v>36</v>
      </c>
      <c r="W79">
        <v>25</v>
      </c>
      <c r="X79" s="54">
        <f>Table1[[#This Row],[Gender Place]]/$Z$2</f>
        <v>0.3968253968253968</v>
      </c>
    </row>
    <row r="80" spans="2:24" x14ac:dyDescent="0.2">
      <c r="B80">
        <v>321</v>
      </c>
      <c r="C80" t="s">
        <v>124</v>
      </c>
      <c r="D80" t="s">
        <v>24</v>
      </c>
      <c r="E80" t="s">
        <v>77</v>
      </c>
      <c r="F80" s="1">
        <v>0.45833333333333331</v>
      </c>
      <c r="G80" s="1">
        <v>1.3136574074074075E-2</v>
      </c>
      <c r="H80" s="2">
        <v>90</v>
      </c>
      <c r="I80" s="1">
        <v>1.712962962962963E-3</v>
      </c>
      <c r="J80" s="2">
        <v>56</v>
      </c>
      <c r="K80" s="1">
        <v>2.7291666666666665E-2</v>
      </c>
      <c r="L80" s="2">
        <v>78</v>
      </c>
      <c r="M80" s="1">
        <v>8.6805555555555551E-4</v>
      </c>
      <c r="N80" s="2">
        <v>13</v>
      </c>
      <c r="O80" s="1">
        <v>1.4513888888888889E-2</v>
      </c>
      <c r="P80" s="2">
        <v>45</v>
      </c>
      <c r="Q80" s="1">
        <v>5.7534722222222223E-2</v>
      </c>
      <c r="R80" s="2">
        <v>62</v>
      </c>
      <c r="S80">
        <v>62</v>
      </c>
      <c r="T80">
        <v>24</v>
      </c>
      <c r="U80">
        <v>44</v>
      </c>
      <c r="V80" t="s">
        <v>19</v>
      </c>
      <c r="W80">
        <v>49</v>
      </c>
      <c r="X80" s="54">
        <f>Table1[[#This Row],[Gender Place]]/$Z$3</f>
        <v>0.57647058823529407</v>
      </c>
    </row>
    <row r="81" spans="2:24" x14ac:dyDescent="0.2">
      <c r="B81">
        <v>326</v>
      </c>
      <c r="C81" t="s">
        <v>210</v>
      </c>
      <c r="D81" t="s">
        <v>24</v>
      </c>
      <c r="E81" t="s">
        <v>70</v>
      </c>
      <c r="F81" s="1">
        <v>0.46527777777777779</v>
      </c>
      <c r="G81" s="1">
        <v>1.0752314814814815E-2</v>
      </c>
      <c r="H81" s="2">
        <v>25</v>
      </c>
      <c r="I81" s="1">
        <v>1.6550925925925926E-3</v>
      </c>
      <c r="J81" s="2">
        <v>49</v>
      </c>
      <c r="K81" s="1">
        <v>2.7303240740740739E-2</v>
      </c>
      <c r="L81" s="2">
        <v>79</v>
      </c>
      <c r="M81" s="1">
        <v>1.7013888888888888E-3</v>
      </c>
      <c r="N81" s="2">
        <v>125</v>
      </c>
      <c r="O81" s="1">
        <v>2.7372685185185184E-2</v>
      </c>
      <c r="P81" s="2">
        <v>147</v>
      </c>
      <c r="Q81" s="1">
        <v>6.8784722222222219E-2</v>
      </c>
      <c r="R81" s="2">
        <v>122</v>
      </c>
      <c r="S81">
        <v>122</v>
      </c>
      <c r="T81">
        <v>19</v>
      </c>
      <c r="U81">
        <v>44</v>
      </c>
      <c r="V81" t="s">
        <v>36</v>
      </c>
      <c r="W81">
        <v>49</v>
      </c>
      <c r="X81" s="54">
        <f>Table1[[#This Row],[Gender Place]]/$Z$2</f>
        <v>0.77777777777777779</v>
      </c>
    </row>
    <row r="82" spans="2:24" x14ac:dyDescent="0.2">
      <c r="B82">
        <v>288</v>
      </c>
      <c r="C82" t="s">
        <v>162</v>
      </c>
      <c r="D82" t="s">
        <v>24</v>
      </c>
      <c r="E82" t="s">
        <v>77</v>
      </c>
      <c r="F82" s="1">
        <v>0.46527777777777779</v>
      </c>
      <c r="G82" s="1">
        <v>1.4687499999999999E-2</v>
      </c>
      <c r="H82" s="2">
        <v>115</v>
      </c>
      <c r="I82" s="1">
        <v>1.8055555555555555E-3</v>
      </c>
      <c r="J82" s="2">
        <v>65</v>
      </c>
      <c r="K82" s="1">
        <v>2.7314814814814816E-2</v>
      </c>
      <c r="L82" s="2">
        <v>80</v>
      </c>
      <c r="M82" s="1">
        <v>9.2592592592592596E-4</v>
      </c>
      <c r="N82" s="2">
        <v>23</v>
      </c>
      <c r="O82" s="1">
        <v>1.6319444444444445E-2</v>
      </c>
      <c r="P82" s="2">
        <v>83</v>
      </c>
      <c r="Q82" s="1">
        <v>6.1076388888888888E-2</v>
      </c>
      <c r="R82" s="2">
        <v>87</v>
      </c>
      <c r="S82">
        <v>87</v>
      </c>
      <c r="T82">
        <v>24</v>
      </c>
      <c r="U82">
        <v>26</v>
      </c>
      <c r="V82" t="s">
        <v>36</v>
      </c>
      <c r="W82">
        <v>28</v>
      </c>
      <c r="X82" s="54">
        <f>Table1[[#This Row],[Gender Place]]/$Z$2</f>
        <v>0.44444444444444442</v>
      </c>
    </row>
    <row r="83" spans="2:24" x14ac:dyDescent="0.2">
      <c r="B83">
        <v>231</v>
      </c>
      <c r="C83" t="s">
        <v>118</v>
      </c>
      <c r="E83" t="s">
        <v>40</v>
      </c>
      <c r="F83" s="1">
        <v>0.45833333333333331</v>
      </c>
      <c r="G83" s="1">
        <v>1.3518518518518518E-2</v>
      </c>
      <c r="H83" s="2">
        <v>98</v>
      </c>
      <c r="I83" s="1">
        <v>1.4467592592592592E-3</v>
      </c>
      <c r="J83" s="2">
        <v>29</v>
      </c>
      <c r="K83" s="1">
        <v>2.732638888888889E-2</v>
      </c>
      <c r="L83" s="2">
        <v>81</v>
      </c>
      <c r="M83" s="1">
        <v>1.4814814814814814E-3</v>
      </c>
      <c r="N83" s="2">
        <v>103</v>
      </c>
      <c r="O83" s="1">
        <v>1.3182870370370371E-2</v>
      </c>
      <c r="P83" s="2">
        <v>22</v>
      </c>
      <c r="Q83" s="1">
        <v>5.6967592592592591E-2</v>
      </c>
      <c r="R83" s="2">
        <v>58</v>
      </c>
      <c r="S83">
        <v>58</v>
      </c>
      <c r="T83">
        <v>20</v>
      </c>
      <c r="U83">
        <v>41</v>
      </c>
      <c r="V83" t="s">
        <v>19</v>
      </c>
      <c r="W83">
        <v>46</v>
      </c>
      <c r="X83" s="54">
        <f>Table1[[#This Row],[Gender Place]]/$Z$3</f>
        <v>0.54117647058823526</v>
      </c>
    </row>
    <row r="84" spans="2:24" x14ac:dyDescent="0.2">
      <c r="B84">
        <v>253</v>
      </c>
      <c r="C84" t="s">
        <v>135</v>
      </c>
      <c r="D84" t="s">
        <v>60</v>
      </c>
      <c r="E84" t="s">
        <v>136</v>
      </c>
      <c r="F84" s="1">
        <v>0.46527777777777779</v>
      </c>
      <c r="G84" s="1">
        <v>1.0925925925925926E-2</v>
      </c>
      <c r="H84" s="2">
        <v>29</v>
      </c>
      <c r="I84" s="1">
        <v>1.3657407407407407E-3</v>
      </c>
      <c r="J84" s="2">
        <v>22</v>
      </c>
      <c r="K84" s="1">
        <v>2.736111111111111E-2</v>
      </c>
      <c r="L84" s="2">
        <v>82</v>
      </c>
      <c r="M84" s="1">
        <v>1.0185185185185184E-3</v>
      </c>
      <c r="N84" s="2">
        <v>38</v>
      </c>
      <c r="O84" s="1">
        <v>1.7500000000000002E-2</v>
      </c>
      <c r="P84" s="2">
        <v>101</v>
      </c>
      <c r="Q84" s="1">
        <v>5.8194444444444444E-2</v>
      </c>
      <c r="R84" s="2">
        <v>68</v>
      </c>
      <c r="S84">
        <v>68</v>
      </c>
      <c r="T84">
        <v>21</v>
      </c>
      <c r="U84">
        <v>14</v>
      </c>
      <c r="V84" t="s">
        <v>36</v>
      </c>
      <c r="W84">
        <v>15</v>
      </c>
      <c r="X84" s="54">
        <f>Table1[[#This Row],[Gender Place]]/$Z$2</f>
        <v>0.23809523809523808</v>
      </c>
    </row>
    <row r="85" spans="2:24" x14ac:dyDescent="0.2">
      <c r="B85">
        <v>323</v>
      </c>
      <c r="C85" t="s">
        <v>113</v>
      </c>
      <c r="D85" t="s">
        <v>34</v>
      </c>
      <c r="E85" t="s">
        <v>106</v>
      </c>
      <c r="F85" s="1">
        <v>0.46527777777777779</v>
      </c>
      <c r="G85" s="1">
        <v>1.0659722222222221E-2</v>
      </c>
      <c r="H85" s="2">
        <v>24</v>
      </c>
      <c r="I85" s="1">
        <v>1.5856481481481481E-3</v>
      </c>
      <c r="J85" s="2">
        <v>43</v>
      </c>
      <c r="K85" s="1">
        <v>2.7442129629629629E-2</v>
      </c>
      <c r="L85" s="2">
        <v>83</v>
      </c>
      <c r="M85" s="1">
        <v>1.1226851851851851E-3</v>
      </c>
      <c r="N85" s="2">
        <v>57</v>
      </c>
      <c r="O85" s="1">
        <v>1.5578703703703704E-2</v>
      </c>
      <c r="P85" s="2">
        <v>70</v>
      </c>
      <c r="Q85" s="1">
        <v>5.6400462962962965E-2</v>
      </c>
      <c r="R85" s="2">
        <v>53</v>
      </c>
      <c r="S85">
        <v>53</v>
      </c>
      <c r="T85">
        <v>20</v>
      </c>
      <c r="U85">
        <v>10</v>
      </c>
      <c r="V85" t="s">
        <v>36</v>
      </c>
      <c r="W85">
        <v>11</v>
      </c>
      <c r="X85" s="54">
        <f>Table1[[#This Row],[Gender Place]]/$Z$2</f>
        <v>0.17460317460317459</v>
      </c>
    </row>
    <row r="86" spans="2:24" x14ac:dyDescent="0.2">
      <c r="B86">
        <v>355</v>
      </c>
      <c r="C86" t="s">
        <v>82</v>
      </c>
      <c r="D86" t="s">
        <v>24</v>
      </c>
      <c r="E86" t="s">
        <v>83</v>
      </c>
      <c r="F86" s="1">
        <v>0.46527777777777779</v>
      </c>
      <c r="G86" s="1">
        <v>9.0856481481481483E-3</v>
      </c>
      <c r="H86" s="2">
        <v>9</v>
      </c>
      <c r="I86" s="1">
        <v>1.3194444444444445E-3</v>
      </c>
      <c r="J86" s="2">
        <v>19</v>
      </c>
      <c r="K86" s="1">
        <v>2.7453703703703702E-2</v>
      </c>
      <c r="L86" s="2">
        <v>84</v>
      </c>
      <c r="M86" s="1">
        <v>1.1689814814814816E-3</v>
      </c>
      <c r="N86" s="2">
        <v>63</v>
      </c>
      <c r="O86" s="1">
        <v>1.4340277777777778E-2</v>
      </c>
      <c r="P86" s="2">
        <v>40</v>
      </c>
      <c r="Q86" s="1">
        <v>5.3402777777777778E-2</v>
      </c>
      <c r="R86" s="2">
        <v>31</v>
      </c>
      <c r="S86">
        <v>31</v>
      </c>
      <c r="T86">
        <v>18</v>
      </c>
      <c r="U86">
        <v>7</v>
      </c>
      <c r="V86" t="s">
        <v>36</v>
      </c>
      <c r="W86">
        <v>8</v>
      </c>
      <c r="X86" s="54">
        <f>Table1[[#This Row],[Gender Place]]/$Z$2</f>
        <v>0.12698412698412698</v>
      </c>
    </row>
    <row r="87" spans="2:24" x14ac:dyDescent="0.2">
      <c r="B87">
        <v>401</v>
      </c>
      <c r="C87" t="s">
        <v>141</v>
      </c>
      <c r="D87" t="s">
        <v>60</v>
      </c>
      <c r="E87" t="s">
        <v>142</v>
      </c>
      <c r="F87" s="1">
        <v>0.46527777777777779</v>
      </c>
      <c r="G87" s="1">
        <v>1.3842592592592592E-2</v>
      </c>
      <c r="H87" s="2">
        <v>102</v>
      </c>
      <c r="I87" s="1">
        <v>1.4583333333333334E-3</v>
      </c>
      <c r="J87" s="2">
        <v>33</v>
      </c>
      <c r="K87" s="1">
        <v>2.7465277777777779E-2</v>
      </c>
      <c r="L87" s="2">
        <v>85</v>
      </c>
      <c r="M87" s="1">
        <v>1.0185185185185184E-3</v>
      </c>
      <c r="N87" s="2">
        <v>39</v>
      </c>
      <c r="O87" s="1">
        <v>1.5393518518518518E-2</v>
      </c>
      <c r="P87" s="2">
        <v>66</v>
      </c>
      <c r="Q87" s="1">
        <v>5.9189814814814813E-2</v>
      </c>
      <c r="R87" s="2">
        <v>73</v>
      </c>
      <c r="S87">
        <v>73</v>
      </c>
      <c r="T87">
        <v>21</v>
      </c>
      <c r="U87">
        <v>18</v>
      </c>
      <c r="V87" t="s">
        <v>36</v>
      </c>
      <c r="W87">
        <v>19</v>
      </c>
      <c r="X87" s="54">
        <f>Table1[[#This Row],[Gender Place]]/$Z$2</f>
        <v>0.30158730158730157</v>
      </c>
    </row>
    <row r="88" spans="2:24" x14ac:dyDescent="0.2">
      <c r="B88">
        <v>227</v>
      </c>
      <c r="C88" t="s">
        <v>209</v>
      </c>
      <c r="D88" t="s">
        <v>42</v>
      </c>
      <c r="E88" t="s">
        <v>49</v>
      </c>
      <c r="F88" s="1">
        <v>0.46527777777777779</v>
      </c>
      <c r="G88" s="1">
        <v>1.2303240740740741E-2</v>
      </c>
      <c r="H88" s="2">
        <v>60</v>
      </c>
      <c r="I88" s="1">
        <v>2.1643518518518518E-3</v>
      </c>
      <c r="J88" s="2">
        <v>98</v>
      </c>
      <c r="K88" s="1">
        <v>2.7523148148148147E-2</v>
      </c>
      <c r="L88" s="2">
        <v>86</v>
      </c>
      <c r="M88" s="1">
        <v>1.1574074074074073E-3</v>
      </c>
      <c r="N88" s="2">
        <v>60</v>
      </c>
      <c r="O88" s="1">
        <v>2.5046296296296296E-2</v>
      </c>
      <c r="P88" s="2">
        <v>145</v>
      </c>
      <c r="Q88" s="1">
        <v>6.822916666666666E-2</v>
      </c>
      <c r="R88" s="2">
        <v>121</v>
      </c>
      <c r="S88">
        <v>121</v>
      </c>
      <c r="T88">
        <v>22</v>
      </c>
      <c r="U88">
        <v>43</v>
      </c>
      <c r="V88" t="s">
        <v>36</v>
      </c>
      <c r="W88">
        <v>48</v>
      </c>
      <c r="X88" s="54">
        <f>Table1[[#This Row],[Gender Place]]/$Z$2</f>
        <v>0.76190476190476186</v>
      </c>
    </row>
    <row r="89" spans="2:24" x14ac:dyDescent="0.2">
      <c r="B89">
        <v>341</v>
      </c>
      <c r="C89" t="s">
        <v>114</v>
      </c>
      <c r="D89" t="s">
        <v>34</v>
      </c>
      <c r="E89" t="s">
        <v>45</v>
      </c>
      <c r="F89" s="1">
        <v>0.45833333333333331</v>
      </c>
      <c r="G89" s="1">
        <v>1.2881944444444444E-2</v>
      </c>
      <c r="H89" s="2">
        <v>86</v>
      </c>
      <c r="I89" s="1">
        <v>1.9212962962962964E-3</v>
      </c>
      <c r="J89" s="2">
        <v>81</v>
      </c>
      <c r="K89" s="1">
        <v>2.7557870370370371E-2</v>
      </c>
      <c r="L89" s="2">
        <v>87</v>
      </c>
      <c r="M89" s="1">
        <v>8.564814814814815E-4</v>
      </c>
      <c r="N89" s="2">
        <v>11</v>
      </c>
      <c r="O89" s="1">
        <v>1.3182870370370371E-2</v>
      </c>
      <c r="P89" s="2">
        <v>20</v>
      </c>
      <c r="Q89" s="1">
        <v>5.6423611111111112E-2</v>
      </c>
      <c r="R89" s="2">
        <v>54</v>
      </c>
      <c r="S89">
        <v>54</v>
      </c>
      <c r="T89">
        <v>19</v>
      </c>
      <c r="U89">
        <v>38</v>
      </c>
      <c r="V89" t="s">
        <v>19</v>
      </c>
      <c r="W89">
        <v>43</v>
      </c>
      <c r="X89" s="54">
        <f>Table1[[#This Row],[Gender Place]]/$Z$3</f>
        <v>0.50588235294117645</v>
      </c>
    </row>
    <row r="90" spans="2:24" x14ac:dyDescent="0.2">
      <c r="B90">
        <v>371</v>
      </c>
      <c r="C90" t="s">
        <v>172</v>
      </c>
      <c r="D90" t="s">
        <v>145</v>
      </c>
      <c r="E90" t="s">
        <v>78</v>
      </c>
      <c r="F90" s="1">
        <v>0.46527777777777779</v>
      </c>
      <c r="G90" s="1">
        <v>1.4178240740740741E-2</v>
      </c>
      <c r="H90" s="2">
        <v>108</v>
      </c>
      <c r="I90" s="1">
        <v>1.4467592592592592E-3</v>
      </c>
      <c r="J90" s="2">
        <v>30</v>
      </c>
      <c r="K90" s="1">
        <v>2.7696759259259258E-2</v>
      </c>
      <c r="L90" s="2">
        <v>88</v>
      </c>
      <c r="M90" s="1">
        <v>1.1458333333333333E-3</v>
      </c>
      <c r="N90" s="2">
        <v>59</v>
      </c>
      <c r="O90" s="1">
        <v>1.773148148148148E-2</v>
      </c>
      <c r="P90" s="2">
        <v>108</v>
      </c>
      <c r="Q90" s="1">
        <v>6.2233796296296294E-2</v>
      </c>
      <c r="R90" s="2">
        <v>95</v>
      </c>
      <c r="S90">
        <v>95</v>
      </c>
      <c r="T90">
        <v>19</v>
      </c>
      <c r="U90">
        <v>30</v>
      </c>
      <c r="V90" t="s">
        <v>36</v>
      </c>
      <c r="W90">
        <v>33</v>
      </c>
      <c r="X90" s="54">
        <f>Table1[[#This Row],[Gender Place]]/$Z$2</f>
        <v>0.52380952380952384</v>
      </c>
    </row>
    <row r="91" spans="2:24" x14ac:dyDescent="0.2">
      <c r="B91">
        <v>386</v>
      </c>
      <c r="C91" t="s">
        <v>151</v>
      </c>
      <c r="E91" t="s">
        <v>40</v>
      </c>
      <c r="F91" s="1">
        <v>0.45833333333333331</v>
      </c>
      <c r="G91" s="1">
        <v>1.3993055555555555E-2</v>
      </c>
      <c r="H91" s="2">
        <v>103</v>
      </c>
      <c r="I91" s="1">
        <v>1.9675925925925924E-3</v>
      </c>
      <c r="J91" s="2">
        <v>83</v>
      </c>
      <c r="K91" s="1">
        <v>2.7696759259259258E-2</v>
      </c>
      <c r="L91" s="2">
        <v>89</v>
      </c>
      <c r="M91" s="1">
        <v>1.0879629629629629E-3</v>
      </c>
      <c r="N91" s="2">
        <v>52</v>
      </c>
      <c r="O91" s="1">
        <v>1.5081018518518518E-2</v>
      </c>
      <c r="P91" s="2">
        <v>58</v>
      </c>
      <c r="Q91" s="1">
        <v>5.9849537037037034E-2</v>
      </c>
      <c r="R91" s="2">
        <v>79</v>
      </c>
      <c r="S91">
        <v>79</v>
      </c>
      <c r="T91">
        <v>23</v>
      </c>
      <c r="U91">
        <v>49</v>
      </c>
      <c r="V91" t="s">
        <v>19</v>
      </c>
      <c r="W91">
        <v>56</v>
      </c>
      <c r="X91" s="54">
        <f>Table1[[#This Row],[Gender Place]]/$Z$3</f>
        <v>0.6588235294117647</v>
      </c>
    </row>
    <row r="92" spans="2:24" x14ac:dyDescent="0.2">
      <c r="B92">
        <v>289</v>
      </c>
      <c r="C92" t="s">
        <v>176</v>
      </c>
      <c r="D92" t="s">
        <v>24</v>
      </c>
      <c r="E92" t="s">
        <v>64</v>
      </c>
      <c r="F92" s="1">
        <v>0.46527777777777779</v>
      </c>
      <c r="G92" s="1">
        <v>1.5347222222222222E-2</v>
      </c>
      <c r="H92" s="2">
        <v>126</v>
      </c>
      <c r="I92" s="1">
        <v>2.3263888888888887E-3</v>
      </c>
      <c r="J92" s="2">
        <v>112</v>
      </c>
      <c r="K92" s="1">
        <v>2.7754629629629629E-2</v>
      </c>
      <c r="L92" s="2">
        <v>90</v>
      </c>
      <c r="M92" s="1">
        <v>1.4120370370370369E-3</v>
      </c>
      <c r="N92" s="2">
        <v>94</v>
      </c>
      <c r="O92" s="1">
        <v>1.5659722222222221E-2</v>
      </c>
      <c r="P92" s="2">
        <v>72</v>
      </c>
      <c r="Q92" s="1">
        <v>6.2534722222222228E-2</v>
      </c>
      <c r="R92" s="2">
        <v>97</v>
      </c>
      <c r="S92">
        <v>97</v>
      </c>
      <c r="T92">
        <v>21</v>
      </c>
      <c r="U92">
        <v>31</v>
      </c>
      <c r="V92" t="s">
        <v>36</v>
      </c>
      <c r="W92">
        <v>34</v>
      </c>
      <c r="X92" s="54">
        <f>Table1[[#This Row],[Gender Place]]/$Z$2</f>
        <v>0.53968253968253965</v>
      </c>
    </row>
    <row r="93" spans="2:24" x14ac:dyDescent="0.2">
      <c r="B93">
        <v>365</v>
      </c>
      <c r="C93" t="s">
        <v>190</v>
      </c>
      <c r="E93" t="s">
        <v>106</v>
      </c>
      <c r="F93" s="1">
        <v>0.45833333333333331</v>
      </c>
      <c r="G93" s="1">
        <v>1.4143518518518519E-2</v>
      </c>
      <c r="H93" s="2">
        <v>106</v>
      </c>
      <c r="I93" s="1">
        <v>2.1180555555555558E-3</v>
      </c>
      <c r="J93" s="2">
        <v>94</v>
      </c>
      <c r="K93" s="1">
        <v>2.7800925925925927E-2</v>
      </c>
      <c r="L93" s="2">
        <v>91</v>
      </c>
      <c r="M93" s="1">
        <v>1.1805555555555556E-3</v>
      </c>
      <c r="N93" s="2">
        <v>65</v>
      </c>
      <c r="O93" s="1">
        <v>1.9120370370370371E-2</v>
      </c>
      <c r="P93" s="2">
        <v>125</v>
      </c>
      <c r="Q93" s="1">
        <v>6.4386574074074068E-2</v>
      </c>
      <c r="R93" s="2">
        <v>107</v>
      </c>
      <c r="S93">
        <v>107</v>
      </c>
      <c r="T93">
        <v>31</v>
      </c>
      <c r="U93">
        <v>3</v>
      </c>
      <c r="V93" t="s">
        <v>19</v>
      </c>
      <c r="W93">
        <v>67</v>
      </c>
      <c r="X93" s="54">
        <f>Table1[[#This Row],[Gender Place]]/$Z$3</f>
        <v>0.78823529411764703</v>
      </c>
    </row>
    <row r="94" spans="2:24" x14ac:dyDescent="0.2">
      <c r="B94">
        <v>290</v>
      </c>
      <c r="C94" t="s">
        <v>122</v>
      </c>
      <c r="D94" t="s">
        <v>21</v>
      </c>
      <c r="E94" t="s">
        <v>123</v>
      </c>
      <c r="F94" s="1">
        <v>0.46527777777777779</v>
      </c>
      <c r="G94" s="1">
        <v>1.1516203703703704E-2</v>
      </c>
      <c r="H94" s="2">
        <v>40</v>
      </c>
      <c r="I94" s="1">
        <v>1.8865740740740742E-3</v>
      </c>
      <c r="J94" s="2">
        <v>74</v>
      </c>
      <c r="K94" s="1">
        <v>2.7858796296296295E-2</v>
      </c>
      <c r="L94" s="2">
        <v>92</v>
      </c>
      <c r="M94" s="1">
        <v>1.1921296296296296E-3</v>
      </c>
      <c r="N94" s="2">
        <v>70</v>
      </c>
      <c r="O94" s="1">
        <v>1.5023148148148148E-2</v>
      </c>
      <c r="P94" s="2">
        <v>56</v>
      </c>
      <c r="Q94" s="1">
        <v>5.7511574074074076E-2</v>
      </c>
      <c r="R94" s="2">
        <v>61</v>
      </c>
      <c r="S94">
        <v>61</v>
      </c>
      <c r="T94">
        <v>20</v>
      </c>
      <c r="U94">
        <v>12</v>
      </c>
      <c r="V94" t="s">
        <v>36</v>
      </c>
      <c r="W94">
        <v>13</v>
      </c>
      <c r="X94" s="54">
        <f>Table1[[#This Row],[Gender Place]]/$Z$2</f>
        <v>0.20634920634920634</v>
      </c>
    </row>
    <row r="95" spans="2:24" x14ac:dyDescent="0.2">
      <c r="B95">
        <v>316</v>
      </c>
      <c r="C95" t="s">
        <v>173</v>
      </c>
      <c r="D95" t="s">
        <v>174</v>
      </c>
      <c r="E95" t="s">
        <v>175</v>
      </c>
      <c r="F95" s="1">
        <v>0.45833333333333331</v>
      </c>
      <c r="G95" s="1">
        <v>1.5659722222222221E-2</v>
      </c>
      <c r="H95" s="2">
        <v>127</v>
      </c>
      <c r="I95" s="1">
        <v>1.7939814814814815E-3</v>
      </c>
      <c r="J95" s="2">
        <v>64</v>
      </c>
      <c r="K95" s="1">
        <v>2.8125000000000001E-2</v>
      </c>
      <c r="L95" s="2">
        <v>93</v>
      </c>
      <c r="M95" s="1">
        <v>1.4236111111111112E-3</v>
      </c>
      <c r="N95" s="2">
        <v>96</v>
      </c>
      <c r="O95" s="1">
        <v>1.5462962962962963E-2</v>
      </c>
      <c r="P95" s="2">
        <v>67</v>
      </c>
      <c r="Q95" s="1">
        <v>6.25E-2</v>
      </c>
      <c r="R95" s="2">
        <v>96</v>
      </c>
      <c r="S95">
        <v>96</v>
      </c>
      <c r="T95">
        <v>21</v>
      </c>
      <c r="U95">
        <v>56</v>
      </c>
      <c r="V95" t="s">
        <v>19</v>
      </c>
      <c r="W95">
        <v>63</v>
      </c>
      <c r="X95" s="54">
        <f>Table1[[#This Row],[Gender Place]]/$Z$3</f>
        <v>0.74117647058823533</v>
      </c>
    </row>
    <row r="96" spans="2:24" x14ac:dyDescent="0.2">
      <c r="B96">
        <v>361</v>
      </c>
      <c r="C96" t="s">
        <v>166</v>
      </c>
      <c r="D96" t="s">
        <v>145</v>
      </c>
      <c r="E96" t="s">
        <v>167</v>
      </c>
      <c r="F96" s="1">
        <v>0.45833333333333331</v>
      </c>
      <c r="G96" s="1">
        <v>1.15625E-2</v>
      </c>
      <c r="H96" s="2">
        <v>42</v>
      </c>
      <c r="I96" s="1">
        <v>2.7662037037037039E-3</v>
      </c>
      <c r="J96" s="2">
        <v>125</v>
      </c>
      <c r="K96" s="1">
        <v>2.8136574074074074E-2</v>
      </c>
      <c r="L96" s="2">
        <v>94</v>
      </c>
      <c r="M96" s="1">
        <v>9.2592592592592596E-4</v>
      </c>
      <c r="N96" s="2">
        <v>24</v>
      </c>
      <c r="O96" s="1">
        <v>1.8275462962962962E-2</v>
      </c>
      <c r="P96" s="2">
        <v>115</v>
      </c>
      <c r="Q96" s="1">
        <v>6.1678240740740742E-2</v>
      </c>
      <c r="R96" s="2">
        <v>90</v>
      </c>
      <c r="S96">
        <v>90</v>
      </c>
      <c r="T96">
        <v>21</v>
      </c>
      <c r="U96">
        <v>54</v>
      </c>
      <c r="V96" t="s">
        <v>19</v>
      </c>
      <c r="W96">
        <v>61</v>
      </c>
      <c r="X96" s="54">
        <f>Table1[[#This Row],[Gender Place]]/$Z$3</f>
        <v>0.71764705882352942</v>
      </c>
    </row>
    <row r="97" spans="2:24" x14ac:dyDescent="0.2">
      <c r="B97">
        <v>259</v>
      </c>
      <c r="C97" t="s">
        <v>179</v>
      </c>
      <c r="D97" t="s">
        <v>21</v>
      </c>
      <c r="E97" t="s">
        <v>27</v>
      </c>
      <c r="F97" s="1">
        <v>0.45833333333333331</v>
      </c>
      <c r="G97" s="1">
        <v>1.2303240740740741E-2</v>
      </c>
      <c r="H97" s="2">
        <v>58</v>
      </c>
      <c r="I97" s="1">
        <v>2.5115740740740741E-3</v>
      </c>
      <c r="J97" s="2">
        <v>116</v>
      </c>
      <c r="K97" s="1">
        <v>2.8159722222222221E-2</v>
      </c>
      <c r="L97" s="2">
        <v>95</v>
      </c>
      <c r="M97" s="1">
        <v>1.8171296296296297E-3</v>
      </c>
      <c r="N97" s="2">
        <v>130</v>
      </c>
      <c r="O97" s="1">
        <v>1.8113425925925925E-2</v>
      </c>
      <c r="P97" s="2">
        <v>114</v>
      </c>
      <c r="Q97" s="1">
        <v>6.2928240740740743E-2</v>
      </c>
      <c r="R97" s="2">
        <v>100</v>
      </c>
      <c r="S97">
        <v>100</v>
      </c>
      <c r="T97">
        <v>18</v>
      </c>
      <c r="U97">
        <v>58</v>
      </c>
      <c r="V97" t="s">
        <v>19</v>
      </c>
      <c r="W97">
        <v>65</v>
      </c>
      <c r="X97" s="54">
        <f>Table1[[#This Row],[Gender Place]]/$Z$3</f>
        <v>0.76470588235294112</v>
      </c>
    </row>
    <row r="98" spans="2:24" x14ac:dyDescent="0.2">
      <c r="B98">
        <v>331</v>
      </c>
      <c r="C98" t="s">
        <v>206</v>
      </c>
      <c r="E98" t="s">
        <v>77</v>
      </c>
      <c r="F98" s="1">
        <v>0.45833333333333331</v>
      </c>
      <c r="G98" s="1">
        <v>1.9444444444444445E-2</v>
      </c>
      <c r="H98" s="2">
        <v>136</v>
      </c>
      <c r="I98" s="1">
        <v>1.8055555555555555E-3</v>
      </c>
      <c r="J98" s="2">
        <v>66</v>
      </c>
      <c r="K98" s="1">
        <v>2.8182870370370372E-2</v>
      </c>
      <c r="L98" s="2">
        <v>96</v>
      </c>
      <c r="M98" s="1">
        <v>1.2847222222222223E-3</v>
      </c>
      <c r="N98" s="2">
        <v>79</v>
      </c>
      <c r="O98" s="1">
        <v>1.6099537037037037E-2</v>
      </c>
      <c r="P98" s="2">
        <v>80</v>
      </c>
      <c r="Q98" s="1">
        <v>6.6840277777777776E-2</v>
      </c>
      <c r="R98" s="2">
        <v>118</v>
      </c>
      <c r="S98">
        <v>118</v>
      </c>
      <c r="T98">
        <v>22</v>
      </c>
      <c r="U98">
        <v>64</v>
      </c>
      <c r="V98" t="s">
        <v>19</v>
      </c>
      <c r="W98">
        <v>73</v>
      </c>
      <c r="X98" s="54">
        <f>Table1[[#This Row],[Gender Place]]/$Z$3</f>
        <v>0.85882352941176465</v>
      </c>
    </row>
    <row r="99" spans="2:24" x14ac:dyDescent="0.2">
      <c r="B99">
        <v>351</v>
      </c>
      <c r="C99" t="s">
        <v>149</v>
      </c>
      <c r="D99" t="s">
        <v>24</v>
      </c>
      <c r="E99" t="s">
        <v>150</v>
      </c>
      <c r="F99" s="1">
        <v>0.46527777777777779</v>
      </c>
      <c r="G99" s="1">
        <v>1.1469907407407408E-2</v>
      </c>
      <c r="H99" s="2">
        <v>39</v>
      </c>
      <c r="I99" s="1">
        <v>2.8356481481481483E-3</v>
      </c>
      <c r="J99" s="2">
        <v>131</v>
      </c>
      <c r="K99" s="1">
        <v>2.8194444444444446E-2</v>
      </c>
      <c r="L99" s="2">
        <v>97</v>
      </c>
      <c r="M99" s="1">
        <v>9.3749999999999997E-4</v>
      </c>
      <c r="N99" s="2">
        <v>25</v>
      </c>
      <c r="O99" s="1">
        <v>1.6342592592592593E-2</v>
      </c>
      <c r="P99" s="2">
        <v>84</v>
      </c>
      <c r="Q99" s="1">
        <v>5.9814814814814814E-2</v>
      </c>
      <c r="R99" s="2">
        <v>78</v>
      </c>
      <c r="S99">
        <v>78</v>
      </c>
      <c r="T99">
        <v>19</v>
      </c>
      <c r="U99">
        <v>21</v>
      </c>
      <c r="V99" t="s">
        <v>36</v>
      </c>
      <c r="W99">
        <v>23</v>
      </c>
      <c r="X99" s="54">
        <f>Table1[[#This Row],[Gender Place]]/$Z$2</f>
        <v>0.36507936507936506</v>
      </c>
    </row>
    <row r="100" spans="2:24" x14ac:dyDescent="0.2">
      <c r="B100">
        <v>342</v>
      </c>
      <c r="C100" t="s">
        <v>178</v>
      </c>
      <c r="D100" t="s">
        <v>34</v>
      </c>
      <c r="E100" t="s">
        <v>45</v>
      </c>
      <c r="F100" s="1">
        <v>0.46527777777777779</v>
      </c>
      <c r="G100" s="1">
        <v>1.238425925925926E-2</v>
      </c>
      <c r="H100" s="2">
        <v>62</v>
      </c>
      <c r="I100" s="1">
        <v>2.5810185185185185E-3</v>
      </c>
      <c r="J100" s="2">
        <v>122</v>
      </c>
      <c r="K100" s="1">
        <v>2.8206018518518519E-2</v>
      </c>
      <c r="L100" s="2">
        <v>98</v>
      </c>
      <c r="M100" s="1">
        <v>1.4351851851851852E-3</v>
      </c>
      <c r="N100" s="2">
        <v>99</v>
      </c>
      <c r="O100" s="1">
        <v>1.8078703703703704E-2</v>
      </c>
      <c r="P100" s="2">
        <v>113</v>
      </c>
      <c r="Q100" s="1">
        <v>6.2719907407407405E-2</v>
      </c>
      <c r="R100" s="2">
        <v>99</v>
      </c>
      <c r="S100">
        <v>99</v>
      </c>
      <c r="T100">
        <v>26</v>
      </c>
      <c r="U100">
        <v>4</v>
      </c>
      <c r="V100" t="s">
        <v>36</v>
      </c>
      <c r="W100">
        <v>35</v>
      </c>
      <c r="X100" s="54">
        <f>Table1[[#This Row],[Gender Place]]/$Z$2</f>
        <v>0.55555555555555558</v>
      </c>
    </row>
    <row r="101" spans="2:24" x14ac:dyDescent="0.2">
      <c r="B101">
        <v>357</v>
      </c>
      <c r="C101" t="s">
        <v>158</v>
      </c>
      <c r="D101" t="s">
        <v>24</v>
      </c>
      <c r="E101" t="s">
        <v>77</v>
      </c>
      <c r="F101" s="1">
        <v>0.46527777777777779</v>
      </c>
      <c r="G101" s="1">
        <v>1.2743055555555556E-2</v>
      </c>
      <c r="H101" s="2">
        <v>78</v>
      </c>
      <c r="I101" s="1">
        <v>2.1296296296296298E-3</v>
      </c>
      <c r="J101" s="2">
        <v>95</v>
      </c>
      <c r="K101" s="1">
        <v>2.826388888888889E-2</v>
      </c>
      <c r="L101" s="2">
        <v>99</v>
      </c>
      <c r="M101" s="1">
        <v>1.5046296296296296E-3</v>
      </c>
      <c r="N101" s="2">
        <v>106</v>
      </c>
      <c r="O101" s="1">
        <v>1.59375E-2</v>
      </c>
      <c r="P101" s="2">
        <v>76</v>
      </c>
      <c r="Q101" s="1">
        <v>6.0601851851851851E-2</v>
      </c>
      <c r="R101" s="2">
        <v>84</v>
      </c>
      <c r="S101">
        <v>84</v>
      </c>
      <c r="T101">
        <v>24</v>
      </c>
      <c r="U101">
        <v>24</v>
      </c>
      <c r="V101" t="s">
        <v>36</v>
      </c>
      <c r="W101">
        <v>26</v>
      </c>
      <c r="X101" s="54">
        <f>Table1[[#This Row],[Gender Place]]/$Z$2</f>
        <v>0.41269841269841268</v>
      </c>
    </row>
    <row r="102" spans="2:24" x14ac:dyDescent="0.2">
      <c r="B102">
        <v>235</v>
      </c>
      <c r="C102" t="s">
        <v>223</v>
      </c>
      <c r="E102" t="s">
        <v>40</v>
      </c>
      <c r="F102" s="1">
        <v>0.46527777777777779</v>
      </c>
      <c r="G102" s="1">
        <v>2.1736111111111112E-2</v>
      </c>
      <c r="H102" s="2">
        <v>141</v>
      </c>
      <c r="I102" s="1">
        <v>3.8310185185185183E-3</v>
      </c>
      <c r="J102" s="2">
        <v>142</v>
      </c>
      <c r="K102" s="1">
        <v>2.8287037037037038E-2</v>
      </c>
      <c r="L102" s="2">
        <v>100</v>
      </c>
      <c r="M102" s="1">
        <v>2.2337962962962962E-3</v>
      </c>
      <c r="N102" s="2">
        <v>138</v>
      </c>
      <c r="O102" s="1">
        <v>1.6689814814814814E-2</v>
      </c>
      <c r="P102" s="2">
        <v>90</v>
      </c>
      <c r="Q102" s="1">
        <v>7.2800925925925922E-2</v>
      </c>
      <c r="R102" s="2">
        <v>133</v>
      </c>
      <c r="S102">
        <v>133</v>
      </c>
      <c r="T102">
        <v>19</v>
      </c>
      <c r="U102">
        <v>49</v>
      </c>
      <c r="V102" t="s">
        <v>36</v>
      </c>
      <c r="W102">
        <v>54</v>
      </c>
      <c r="X102" s="54">
        <f>Table1[[#This Row],[Gender Place]]/$Z$2</f>
        <v>0.8571428571428571</v>
      </c>
    </row>
    <row r="103" spans="2:24" x14ac:dyDescent="0.2">
      <c r="B103">
        <v>324</v>
      </c>
      <c r="C103" t="s">
        <v>191</v>
      </c>
      <c r="D103" t="s">
        <v>34</v>
      </c>
      <c r="E103" t="s">
        <v>45</v>
      </c>
      <c r="F103" s="1">
        <v>0.46527777777777779</v>
      </c>
      <c r="G103" s="1">
        <v>1.4618055555555556E-2</v>
      </c>
      <c r="H103" s="2">
        <v>114</v>
      </c>
      <c r="I103" s="1">
        <v>2.5000000000000001E-3</v>
      </c>
      <c r="J103" s="2">
        <v>115</v>
      </c>
      <c r="K103" s="1">
        <v>2.837962962962963E-2</v>
      </c>
      <c r="L103" s="2">
        <v>101</v>
      </c>
      <c r="M103" s="1">
        <v>1.2847222222222223E-3</v>
      </c>
      <c r="N103" s="2">
        <v>80</v>
      </c>
      <c r="O103" s="1">
        <v>1.7928240740740741E-2</v>
      </c>
      <c r="P103" s="2">
        <v>110</v>
      </c>
      <c r="Q103" s="1">
        <v>6.4733796296296303E-2</v>
      </c>
      <c r="R103" s="2">
        <v>108</v>
      </c>
      <c r="S103">
        <v>108</v>
      </c>
      <c r="T103">
        <v>28</v>
      </c>
      <c r="U103">
        <v>5</v>
      </c>
      <c r="V103" t="s">
        <v>36</v>
      </c>
      <c r="W103">
        <v>41</v>
      </c>
      <c r="X103" s="54">
        <f>Table1[[#This Row],[Gender Place]]/$Z$2</f>
        <v>0.65079365079365081</v>
      </c>
    </row>
    <row r="104" spans="2:24" x14ac:dyDescent="0.2">
      <c r="B104">
        <v>265</v>
      </c>
      <c r="C104" t="s">
        <v>130</v>
      </c>
      <c r="D104" t="s">
        <v>24</v>
      </c>
      <c r="E104" t="s">
        <v>131</v>
      </c>
      <c r="F104" s="1">
        <v>0.45833333333333331</v>
      </c>
      <c r="G104" s="1">
        <v>1.1527777777777777E-2</v>
      </c>
      <c r="H104" s="2">
        <v>41</v>
      </c>
      <c r="I104" s="1">
        <v>1.8287037037037037E-3</v>
      </c>
      <c r="J104" s="2">
        <v>67</v>
      </c>
      <c r="K104" s="1">
        <v>2.8530092592592593E-2</v>
      </c>
      <c r="L104" s="2">
        <v>102</v>
      </c>
      <c r="M104" s="1">
        <v>8.2175925925925927E-4</v>
      </c>
      <c r="N104" s="2">
        <v>9</v>
      </c>
      <c r="O104" s="1">
        <v>1.5127314814814816E-2</v>
      </c>
      <c r="P104" s="2">
        <v>61</v>
      </c>
      <c r="Q104" s="1">
        <v>5.7858796296296297E-2</v>
      </c>
      <c r="R104" s="2">
        <v>65</v>
      </c>
      <c r="S104">
        <v>65</v>
      </c>
      <c r="T104">
        <v>21</v>
      </c>
      <c r="U104">
        <v>47</v>
      </c>
      <c r="V104" t="s">
        <v>19</v>
      </c>
      <c r="W104">
        <v>52</v>
      </c>
      <c r="X104" s="54">
        <f>Table1[[#This Row],[Gender Place]]/$Z$3</f>
        <v>0.61176470588235299</v>
      </c>
    </row>
    <row r="105" spans="2:24" x14ac:dyDescent="0.2">
      <c r="B105">
        <v>315</v>
      </c>
      <c r="C105" t="s">
        <v>147</v>
      </c>
      <c r="D105" t="s">
        <v>24</v>
      </c>
      <c r="E105" t="s">
        <v>77</v>
      </c>
      <c r="F105" s="1">
        <v>0.46527777777777779</v>
      </c>
      <c r="G105" s="1">
        <v>1.2719907407407407E-2</v>
      </c>
      <c r="H105" s="2">
        <v>76</v>
      </c>
      <c r="I105" s="1">
        <v>1.4699074074074074E-3</v>
      </c>
      <c r="J105" s="2">
        <v>34</v>
      </c>
      <c r="K105" s="1">
        <v>2.855324074074074E-2</v>
      </c>
      <c r="L105" s="2">
        <v>103</v>
      </c>
      <c r="M105" s="1">
        <v>9.4907407407407408E-4</v>
      </c>
      <c r="N105" s="2">
        <v>28</v>
      </c>
      <c r="O105" s="1">
        <v>1.607638888888889E-2</v>
      </c>
      <c r="P105" s="2">
        <v>79</v>
      </c>
      <c r="Q105" s="1">
        <v>5.9780092592592593E-2</v>
      </c>
      <c r="R105" s="2">
        <v>76</v>
      </c>
      <c r="S105">
        <v>76</v>
      </c>
      <c r="T105">
        <v>23</v>
      </c>
      <c r="U105">
        <v>20</v>
      </c>
      <c r="V105" t="s">
        <v>36</v>
      </c>
      <c r="W105">
        <v>22</v>
      </c>
      <c r="X105" s="54">
        <f>Table1[[#This Row],[Gender Place]]/$Z$2</f>
        <v>0.34920634920634919</v>
      </c>
    </row>
    <row r="106" spans="2:24" x14ac:dyDescent="0.2">
      <c r="B106">
        <v>285</v>
      </c>
      <c r="C106" t="s">
        <v>184</v>
      </c>
      <c r="D106" t="s">
        <v>21</v>
      </c>
      <c r="E106" t="s">
        <v>185</v>
      </c>
      <c r="F106" s="1">
        <v>0.46527777777777779</v>
      </c>
      <c r="G106" s="1">
        <v>1.2870370370370371E-2</v>
      </c>
      <c r="H106" s="2">
        <v>85</v>
      </c>
      <c r="I106" s="1">
        <v>1.6550925925925926E-3</v>
      </c>
      <c r="J106" s="2">
        <v>50</v>
      </c>
      <c r="K106" s="1">
        <v>2.8750000000000001E-2</v>
      </c>
      <c r="L106" s="2">
        <v>104</v>
      </c>
      <c r="M106" s="1">
        <v>1.5277777777777779E-3</v>
      </c>
      <c r="N106" s="2">
        <v>109</v>
      </c>
      <c r="O106" s="1">
        <v>1.9097222222222224E-2</v>
      </c>
      <c r="P106" s="2">
        <v>124</v>
      </c>
      <c r="Q106" s="1">
        <v>6.3923611111111112E-2</v>
      </c>
      <c r="R106" s="2">
        <v>104</v>
      </c>
      <c r="S106">
        <v>104</v>
      </c>
      <c r="T106">
        <v>20</v>
      </c>
      <c r="U106">
        <v>34</v>
      </c>
      <c r="V106" t="s">
        <v>36</v>
      </c>
      <c r="W106">
        <v>38</v>
      </c>
      <c r="X106" s="54">
        <f>Table1[[#This Row],[Gender Place]]/$Z$2</f>
        <v>0.60317460317460314</v>
      </c>
    </row>
    <row r="107" spans="2:24" x14ac:dyDescent="0.2">
      <c r="B107">
        <v>333</v>
      </c>
      <c r="C107" t="s">
        <v>165</v>
      </c>
      <c r="E107" t="s">
        <v>77</v>
      </c>
      <c r="F107" s="1">
        <v>0.46527777777777779</v>
      </c>
      <c r="G107" s="1">
        <v>1.1574074074074073E-2</v>
      </c>
      <c r="H107" s="2">
        <v>43</v>
      </c>
      <c r="I107" s="1">
        <v>2.7893518518518519E-3</v>
      </c>
      <c r="J107" s="2">
        <v>126</v>
      </c>
      <c r="K107" s="1">
        <v>2.8761574074074075E-2</v>
      </c>
      <c r="L107" s="2">
        <v>105</v>
      </c>
      <c r="M107" s="1">
        <v>1.6666666666666668E-3</v>
      </c>
      <c r="N107" s="2">
        <v>123</v>
      </c>
      <c r="O107" s="1">
        <v>1.653935185185185E-2</v>
      </c>
      <c r="P107" s="2">
        <v>86</v>
      </c>
      <c r="Q107" s="1">
        <v>6.1354166666666668E-2</v>
      </c>
      <c r="R107" s="2">
        <v>89</v>
      </c>
      <c r="S107">
        <v>89</v>
      </c>
      <c r="T107">
        <v>22</v>
      </c>
      <c r="U107">
        <v>27</v>
      </c>
      <c r="V107" t="s">
        <v>36</v>
      </c>
      <c r="W107">
        <v>29</v>
      </c>
      <c r="X107" s="54">
        <f>Table1[[#This Row],[Gender Place]]/$Z$2</f>
        <v>0.46031746031746029</v>
      </c>
    </row>
    <row r="108" spans="2:24" x14ac:dyDescent="0.2">
      <c r="B108">
        <v>240</v>
      </c>
      <c r="C108" t="s">
        <v>111</v>
      </c>
      <c r="E108" t="s">
        <v>112</v>
      </c>
      <c r="F108" s="1">
        <v>0.45833333333333331</v>
      </c>
      <c r="G108" s="1">
        <v>1.0428240740740741E-2</v>
      </c>
      <c r="H108" s="2">
        <v>19</v>
      </c>
      <c r="I108" s="1">
        <v>1.9212962962962964E-3</v>
      </c>
      <c r="J108" s="2">
        <v>80</v>
      </c>
      <c r="K108" s="1">
        <v>2.8854166666666667E-2</v>
      </c>
      <c r="L108" s="2">
        <v>106</v>
      </c>
      <c r="M108" s="1">
        <v>1.5393518518518519E-3</v>
      </c>
      <c r="N108" s="2">
        <v>111</v>
      </c>
      <c r="O108" s="1">
        <v>1.3622685185185186E-2</v>
      </c>
      <c r="P108" s="2">
        <v>31</v>
      </c>
      <c r="Q108" s="1">
        <v>5.6377314814814818E-2</v>
      </c>
      <c r="R108" s="2">
        <v>52</v>
      </c>
      <c r="S108">
        <v>52</v>
      </c>
      <c r="T108">
        <v>20</v>
      </c>
      <c r="U108">
        <v>37</v>
      </c>
      <c r="V108" t="s">
        <v>19</v>
      </c>
      <c r="W108">
        <v>42</v>
      </c>
      <c r="X108" s="54">
        <f>Table1[[#This Row],[Gender Place]]/$Z$3</f>
        <v>0.49411764705882355</v>
      </c>
    </row>
    <row r="109" spans="2:24" x14ac:dyDescent="0.2">
      <c r="B109">
        <v>293</v>
      </c>
      <c r="C109" t="s">
        <v>207</v>
      </c>
      <c r="D109" t="s">
        <v>21</v>
      </c>
      <c r="E109" t="s">
        <v>75</v>
      </c>
      <c r="F109" s="1">
        <v>0.46527777777777779</v>
      </c>
      <c r="G109" s="1">
        <v>1.7037037037037038E-2</v>
      </c>
      <c r="H109" s="2">
        <v>131</v>
      </c>
      <c r="I109" s="1">
        <v>1.8749999999999999E-3</v>
      </c>
      <c r="J109" s="2">
        <v>73</v>
      </c>
      <c r="K109" s="1">
        <v>2.8900462962962965E-2</v>
      </c>
      <c r="L109" s="2">
        <v>107</v>
      </c>
      <c r="M109" s="1">
        <v>1.0763888888888889E-3</v>
      </c>
      <c r="N109" s="2">
        <v>49</v>
      </c>
      <c r="O109" s="1">
        <v>1.846064814814815E-2</v>
      </c>
      <c r="P109" s="2">
        <v>116</v>
      </c>
      <c r="Q109" s="1">
        <v>6.7361111111111108E-2</v>
      </c>
      <c r="R109" s="2">
        <v>119</v>
      </c>
      <c r="S109">
        <v>119</v>
      </c>
      <c r="T109">
        <v>18</v>
      </c>
      <c r="U109">
        <v>41</v>
      </c>
      <c r="V109" t="s">
        <v>36</v>
      </c>
      <c r="W109">
        <v>46</v>
      </c>
      <c r="X109" s="54">
        <f>Table1[[#This Row],[Gender Place]]/$Z$2</f>
        <v>0.73015873015873012</v>
      </c>
    </row>
    <row r="110" spans="2:24" x14ac:dyDescent="0.2">
      <c r="B110">
        <v>360</v>
      </c>
      <c r="C110" t="s">
        <v>193</v>
      </c>
      <c r="D110" t="s">
        <v>145</v>
      </c>
      <c r="E110" t="s">
        <v>194</v>
      </c>
      <c r="F110" s="1">
        <v>0.46527777777777779</v>
      </c>
      <c r="G110" s="1">
        <v>1.3206018518518518E-2</v>
      </c>
      <c r="H110" s="2">
        <v>93</v>
      </c>
      <c r="I110" s="1">
        <v>2.0833333333333333E-3</v>
      </c>
      <c r="J110" s="2">
        <v>90</v>
      </c>
      <c r="K110" s="1">
        <v>2.8935185185185185E-2</v>
      </c>
      <c r="L110" s="2">
        <v>108</v>
      </c>
      <c r="M110" s="1">
        <v>1.3657407407407407E-3</v>
      </c>
      <c r="N110" s="2">
        <v>89</v>
      </c>
      <c r="O110" s="1">
        <v>1.9189814814814816E-2</v>
      </c>
      <c r="P110" s="2">
        <v>126</v>
      </c>
      <c r="Q110" s="1">
        <v>6.4791666666666664E-2</v>
      </c>
      <c r="R110" s="2">
        <v>110</v>
      </c>
      <c r="S110">
        <v>110</v>
      </c>
      <c r="T110">
        <v>18</v>
      </c>
      <c r="U110">
        <v>37</v>
      </c>
      <c r="V110" t="s">
        <v>36</v>
      </c>
      <c r="W110">
        <v>42</v>
      </c>
      <c r="X110" s="54">
        <f>Table1[[#This Row],[Gender Place]]/$Z$2</f>
        <v>0.66666666666666663</v>
      </c>
    </row>
    <row r="111" spans="2:24" x14ac:dyDescent="0.2">
      <c r="B111">
        <v>350</v>
      </c>
      <c r="C111" t="s">
        <v>195</v>
      </c>
      <c r="D111" t="s">
        <v>24</v>
      </c>
      <c r="E111" t="s">
        <v>77</v>
      </c>
      <c r="F111" s="1">
        <v>0.46527777777777779</v>
      </c>
      <c r="G111" s="1">
        <v>1.7002314814814814E-2</v>
      </c>
      <c r="H111" s="2">
        <v>130</v>
      </c>
      <c r="I111" s="1">
        <v>1.8749999999999999E-3</v>
      </c>
      <c r="J111" s="2">
        <v>72</v>
      </c>
      <c r="K111" s="1">
        <v>2.9027777777777777E-2</v>
      </c>
      <c r="L111" s="2">
        <v>109</v>
      </c>
      <c r="M111" s="1">
        <v>9.6064814814814819E-4</v>
      </c>
      <c r="N111" s="2">
        <v>30</v>
      </c>
      <c r="O111" s="1">
        <v>1.6018518518518519E-2</v>
      </c>
      <c r="P111" s="2">
        <v>78</v>
      </c>
      <c r="Q111" s="1">
        <v>6.4907407407407414E-2</v>
      </c>
      <c r="R111" s="2">
        <v>111</v>
      </c>
      <c r="S111">
        <v>111</v>
      </c>
      <c r="T111">
        <v>18</v>
      </c>
      <c r="U111">
        <v>38</v>
      </c>
      <c r="V111" t="s">
        <v>36</v>
      </c>
      <c r="W111">
        <v>43</v>
      </c>
      <c r="X111" s="54">
        <f>Table1[[#This Row],[Gender Place]]/$Z$2</f>
        <v>0.68253968253968256</v>
      </c>
    </row>
    <row r="112" spans="2:24" x14ac:dyDescent="0.2">
      <c r="B112">
        <v>373</v>
      </c>
      <c r="C112" t="s">
        <v>152</v>
      </c>
      <c r="D112" t="s">
        <v>145</v>
      </c>
      <c r="E112" t="s">
        <v>153</v>
      </c>
      <c r="F112" s="1">
        <v>0.46527777777777779</v>
      </c>
      <c r="G112" s="1">
        <v>1.2731481481481481E-2</v>
      </c>
      <c r="H112" s="2">
        <v>77</v>
      </c>
      <c r="I112" s="1">
        <v>1.5393518518518519E-3</v>
      </c>
      <c r="J112" s="2">
        <v>37</v>
      </c>
      <c r="K112" s="1">
        <v>2.9062500000000002E-2</v>
      </c>
      <c r="L112" s="2">
        <v>110</v>
      </c>
      <c r="M112" s="1">
        <v>1.1111111111111111E-3</v>
      </c>
      <c r="N112" s="2">
        <v>54</v>
      </c>
      <c r="O112" s="1">
        <v>1.5474537037037037E-2</v>
      </c>
      <c r="P112" s="2">
        <v>68</v>
      </c>
      <c r="Q112" s="1">
        <v>5.994212962962963E-2</v>
      </c>
      <c r="R112" s="2">
        <v>80</v>
      </c>
      <c r="S112">
        <v>80</v>
      </c>
      <c r="T112">
        <v>19</v>
      </c>
      <c r="U112">
        <v>22</v>
      </c>
      <c r="V112" t="s">
        <v>36</v>
      </c>
      <c r="W112">
        <v>24</v>
      </c>
      <c r="X112" s="54">
        <f>Table1[[#This Row],[Gender Place]]/$Z$2</f>
        <v>0.38095238095238093</v>
      </c>
    </row>
    <row r="113" spans="2:24" x14ac:dyDescent="0.2">
      <c r="B113">
        <v>327</v>
      </c>
      <c r="C113" t="s">
        <v>140</v>
      </c>
      <c r="D113" t="s">
        <v>24</v>
      </c>
      <c r="E113" t="s">
        <v>120</v>
      </c>
      <c r="F113" s="1">
        <v>0.46527777777777779</v>
      </c>
      <c r="G113" s="1">
        <v>1.207175925925926E-2</v>
      </c>
      <c r="H113" s="2">
        <v>56</v>
      </c>
      <c r="I113" s="1">
        <v>1.3425925925925925E-3</v>
      </c>
      <c r="J113" s="2">
        <v>21</v>
      </c>
      <c r="K113" s="1">
        <v>2.9108796296296296E-2</v>
      </c>
      <c r="L113" s="2">
        <v>111</v>
      </c>
      <c r="M113" s="1">
        <v>1.2152777777777778E-3</v>
      </c>
      <c r="N113" s="2">
        <v>73</v>
      </c>
      <c r="O113" s="1">
        <v>1.5104166666666667E-2</v>
      </c>
      <c r="P113" s="2">
        <v>60</v>
      </c>
      <c r="Q113" s="1">
        <v>5.8877314814814813E-2</v>
      </c>
      <c r="R113" s="2">
        <v>72</v>
      </c>
      <c r="S113">
        <v>72</v>
      </c>
      <c r="T113">
        <v>21</v>
      </c>
      <c r="U113">
        <v>17</v>
      </c>
      <c r="V113" t="s">
        <v>36</v>
      </c>
      <c r="W113">
        <v>18</v>
      </c>
      <c r="X113" s="54">
        <f>Table1[[#This Row],[Gender Place]]/$Z$2</f>
        <v>0.2857142857142857</v>
      </c>
    </row>
    <row r="114" spans="2:24" x14ac:dyDescent="0.2">
      <c r="B114">
        <v>236</v>
      </c>
      <c r="C114" t="s">
        <v>186</v>
      </c>
      <c r="D114" t="s">
        <v>21</v>
      </c>
      <c r="E114" t="s">
        <v>187</v>
      </c>
      <c r="F114" s="1">
        <v>0.46527777777777779</v>
      </c>
      <c r="G114" s="1">
        <v>1.1817129629629629E-2</v>
      </c>
      <c r="H114" s="2">
        <v>52</v>
      </c>
      <c r="I114" s="1">
        <v>1.7824074074074075E-3</v>
      </c>
      <c r="J114" s="2">
        <v>62</v>
      </c>
      <c r="K114" s="1">
        <v>2.9259259259259259E-2</v>
      </c>
      <c r="L114" s="2">
        <v>112</v>
      </c>
      <c r="M114" s="1">
        <v>1.3194444444444445E-3</v>
      </c>
      <c r="N114" s="2">
        <v>86</v>
      </c>
      <c r="O114" s="1">
        <v>2.0023148148148148E-2</v>
      </c>
      <c r="P114" s="2">
        <v>131</v>
      </c>
      <c r="Q114" s="1">
        <v>6.4236111111111105E-2</v>
      </c>
      <c r="R114" s="2">
        <v>105</v>
      </c>
      <c r="S114">
        <v>105</v>
      </c>
      <c r="T114">
        <v>18</v>
      </c>
      <c r="U114">
        <v>35</v>
      </c>
      <c r="V114" t="s">
        <v>36</v>
      </c>
      <c r="W114">
        <v>39</v>
      </c>
      <c r="X114" s="54">
        <f>Table1[[#This Row],[Gender Place]]/$Z$2</f>
        <v>0.61904761904761907</v>
      </c>
    </row>
    <row r="115" spans="2:24" x14ac:dyDescent="0.2">
      <c r="B115">
        <v>356</v>
      </c>
      <c r="C115" t="s">
        <v>192</v>
      </c>
      <c r="D115" t="s">
        <v>181</v>
      </c>
      <c r="E115" t="s">
        <v>64</v>
      </c>
      <c r="F115" s="1">
        <v>0.45833333333333331</v>
      </c>
      <c r="G115" s="1">
        <v>1.4409722222222223E-2</v>
      </c>
      <c r="H115" s="2">
        <v>110</v>
      </c>
      <c r="I115" s="1">
        <v>2.5347222222222221E-3</v>
      </c>
      <c r="J115" s="2">
        <v>119</v>
      </c>
      <c r="K115" s="1">
        <v>2.9340277777777778E-2</v>
      </c>
      <c r="L115" s="2">
        <v>113</v>
      </c>
      <c r="M115" s="1">
        <v>9.1435185185185185E-4</v>
      </c>
      <c r="N115" s="2">
        <v>22</v>
      </c>
      <c r="O115" s="1">
        <v>1.7546296296296296E-2</v>
      </c>
      <c r="P115" s="2">
        <v>103</v>
      </c>
      <c r="Q115" s="1">
        <v>6.4768518518518517E-2</v>
      </c>
      <c r="R115" s="2">
        <v>109</v>
      </c>
      <c r="S115">
        <v>109</v>
      </c>
      <c r="T115">
        <v>18</v>
      </c>
      <c r="U115">
        <v>60</v>
      </c>
      <c r="V115" t="s">
        <v>19</v>
      </c>
      <c r="W115">
        <v>68</v>
      </c>
      <c r="X115" s="54">
        <f>Table1[[#This Row],[Gender Place]]/$Z$3</f>
        <v>0.8</v>
      </c>
    </row>
    <row r="116" spans="2:24" x14ac:dyDescent="0.2">
      <c r="B116">
        <v>344</v>
      </c>
      <c r="C116" t="s">
        <v>241</v>
      </c>
      <c r="E116" t="s">
        <v>56</v>
      </c>
      <c r="F116" s="1">
        <v>0.46527777777777779</v>
      </c>
      <c r="G116" s="1">
        <v>5.3981481481481484E-2</v>
      </c>
      <c r="H116" s="2">
        <v>147</v>
      </c>
      <c r="I116" s="1">
        <v>4.0046296296296297E-3</v>
      </c>
      <c r="J116" s="2">
        <v>143</v>
      </c>
      <c r="K116" s="1">
        <v>2.9363425925925925E-2</v>
      </c>
      <c r="L116" s="2">
        <v>114</v>
      </c>
      <c r="M116" s="1">
        <v>1.5162037037037036E-3</v>
      </c>
      <c r="N116" s="2">
        <v>107</v>
      </c>
      <c r="O116" s="1">
        <v>1.7708333333333333E-2</v>
      </c>
      <c r="P116" s="2">
        <v>107</v>
      </c>
      <c r="Q116" s="1">
        <v>0.10659722222222222</v>
      </c>
      <c r="R116" s="2">
        <v>146</v>
      </c>
      <c r="S116">
        <v>146</v>
      </c>
      <c r="T116">
        <v>25</v>
      </c>
      <c r="U116">
        <v>6</v>
      </c>
      <c r="V116" t="s">
        <v>36</v>
      </c>
      <c r="W116">
        <v>63</v>
      </c>
      <c r="X116" s="54">
        <f>Table1[[#This Row],[Gender Place]]/$Z$2</f>
        <v>1</v>
      </c>
    </row>
    <row r="117" spans="2:24" x14ac:dyDescent="0.2">
      <c r="B117">
        <v>318</v>
      </c>
      <c r="C117" t="s">
        <v>204</v>
      </c>
      <c r="D117" t="s">
        <v>21</v>
      </c>
      <c r="E117" t="s">
        <v>205</v>
      </c>
      <c r="F117" s="1">
        <v>0.46527777777777779</v>
      </c>
      <c r="G117" s="1">
        <v>1.2708333333333334E-2</v>
      </c>
      <c r="H117" s="2">
        <v>75</v>
      </c>
      <c r="I117" s="1">
        <v>2.2453703703703702E-3</v>
      </c>
      <c r="J117" s="2">
        <v>104</v>
      </c>
      <c r="K117" s="1">
        <v>2.9398148148148149E-2</v>
      </c>
      <c r="L117" s="2">
        <v>115</v>
      </c>
      <c r="M117" s="1">
        <v>1.2847222222222223E-3</v>
      </c>
      <c r="N117" s="2">
        <v>81</v>
      </c>
      <c r="O117" s="1">
        <v>2.0937500000000001E-2</v>
      </c>
      <c r="P117" s="2">
        <v>135</v>
      </c>
      <c r="Q117" s="1">
        <v>6.6597222222222224E-2</v>
      </c>
      <c r="R117" s="2">
        <v>117</v>
      </c>
      <c r="S117">
        <v>117</v>
      </c>
      <c r="T117">
        <v>22</v>
      </c>
      <c r="U117">
        <v>40</v>
      </c>
      <c r="V117" t="s">
        <v>36</v>
      </c>
      <c r="W117">
        <v>45</v>
      </c>
      <c r="X117" s="54">
        <f>Table1[[#This Row],[Gender Place]]/$Z$2</f>
        <v>0.7142857142857143</v>
      </c>
    </row>
    <row r="118" spans="2:24" x14ac:dyDescent="0.2">
      <c r="B118">
        <v>294</v>
      </c>
      <c r="C118" t="s">
        <v>188</v>
      </c>
      <c r="D118" t="s">
        <v>21</v>
      </c>
      <c r="E118" t="s">
        <v>189</v>
      </c>
      <c r="F118" s="1">
        <v>0.46527777777777779</v>
      </c>
      <c r="G118" s="1">
        <v>1.2256944444444445E-2</v>
      </c>
      <c r="H118" s="2">
        <v>57</v>
      </c>
      <c r="I118" s="1">
        <v>2.2222222222222222E-3</v>
      </c>
      <c r="J118" s="2">
        <v>103</v>
      </c>
      <c r="K118" s="1">
        <v>2.9409722222222223E-2</v>
      </c>
      <c r="L118" s="2">
        <v>116</v>
      </c>
      <c r="M118" s="1">
        <v>1.3773148148148147E-3</v>
      </c>
      <c r="N118" s="2">
        <v>92</v>
      </c>
      <c r="O118" s="1">
        <v>1.9050925925925926E-2</v>
      </c>
      <c r="P118" s="2">
        <v>123</v>
      </c>
      <c r="Q118" s="1">
        <v>6.4328703703703707E-2</v>
      </c>
      <c r="R118" s="2">
        <v>106</v>
      </c>
      <c r="S118">
        <v>106</v>
      </c>
      <c r="T118">
        <v>18</v>
      </c>
      <c r="U118">
        <v>36</v>
      </c>
      <c r="V118" t="s">
        <v>36</v>
      </c>
      <c r="W118">
        <v>40</v>
      </c>
      <c r="X118" s="54">
        <f>Table1[[#This Row],[Gender Place]]/$Z$2</f>
        <v>0.63492063492063489</v>
      </c>
    </row>
    <row r="119" spans="2:24" x14ac:dyDescent="0.2">
      <c r="B119">
        <v>343</v>
      </c>
      <c r="C119" t="s">
        <v>180</v>
      </c>
      <c r="D119" t="s">
        <v>181</v>
      </c>
      <c r="E119" t="s">
        <v>64</v>
      </c>
      <c r="F119" s="1">
        <v>0.45833333333333331</v>
      </c>
      <c r="G119" s="1">
        <v>1.2303240740740741E-2</v>
      </c>
      <c r="H119" s="2">
        <v>59</v>
      </c>
      <c r="I119" s="1">
        <v>2.5694444444444445E-3</v>
      </c>
      <c r="J119" s="2">
        <v>121</v>
      </c>
      <c r="K119" s="1">
        <v>2.9409722222222223E-2</v>
      </c>
      <c r="L119" s="2">
        <v>117</v>
      </c>
      <c r="M119" s="1">
        <v>1.4236111111111112E-3</v>
      </c>
      <c r="N119" s="2">
        <v>97</v>
      </c>
      <c r="O119" s="1">
        <v>1.7465277777777777E-2</v>
      </c>
      <c r="P119" s="2">
        <v>100</v>
      </c>
      <c r="Q119" s="1">
        <v>6.3182870370370375E-2</v>
      </c>
      <c r="R119" s="2">
        <v>101</v>
      </c>
      <c r="S119">
        <v>101</v>
      </c>
      <c r="T119">
        <v>23</v>
      </c>
      <c r="U119">
        <v>59</v>
      </c>
      <c r="V119" t="s">
        <v>19</v>
      </c>
      <c r="W119">
        <v>66</v>
      </c>
      <c r="X119" s="54">
        <f>Table1[[#This Row],[Gender Place]]/$Z$3</f>
        <v>0.77647058823529413</v>
      </c>
    </row>
    <row r="120" spans="2:24" x14ac:dyDescent="0.2">
      <c r="B120">
        <v>306</v>
      </c>
      <c r="C120" t="s">
        <v>182</v>
      </c>
      <c r="D120" t="s">
        <v>42</v>
      </c>
      <c r="E120" t="s">
        <v>43</v>
      </c>
      <c r="F120" s="1">
        <v>0.46527777777777779</v>
      </c>
      <c r="G120" s="1">
        <v>1.2870370370370371E-2</v>
      </c>
      <c r="H120" s="2">
        <v>84</v>
      </c>
      <c r="I120" s="1">
        <v>1.8981481481481482E-3</v>
      </c>
      <c r="J120" s="2">
        <v>78</v>
      </c>
      <c r="K120" s="1">
        <v>2.9513888888888888E-2</v>
      </c>
      <c r="L120" s="2">
        <v>118</v>
      </c>
      <c r="M120" s="1">
        <v>1.2847222222222223E-3</v>
      </c>
      <c r="N120" s="2">
        <v>82</v>
      </c>
      <c r="O120" s="1">
        <v>1.7847222222222223E-2</v>
      </c>
      <c r="P120" s="2">
        <v>109</v>
      </c>
      <c r="Q120" s="1">
        <v>6.3437499999999994E-2</v>
      </c>
      <c r="R120" s="2">
        <v>102</v>
      </c>
      <c r="S120">
        <v>102</v>
      </c>
      <c r="T120">
        <v>22</v>
      </c>
      <c r="U120">
        <v>32</v>
      </c>
      <c r="V120" t="s">
        <v>36</v>
      </c>
      <c r="W120">
        <v>36</v>
      </c>
      <c r="X120" s="54">
        <f>Table1[[#This Row],[Gender Place]]/$Z$2</f>
        <v>0.5714285714285714</v>
      </c>
    </row>
    <row r="121" spans="2:24" x14ac:dyDescent="0.2">
      <c r="B121">
        <v>301</v>
      </c>
      <c r="C121" t="s">
        <v>148</v>
      </c>
      <c r="E121" t="s">
        <v>58</v>
      </c>
      <c r="F121" s="1">
        <v>0.45833333333333331</v>
      </c>
      <c r="G121" s="1">
        <v>1.2835648148148148E-2</v>
      </c>
      <c r="H121" s="2">
        <v>82</v>
      </c>
      <c r="I121" s="1">
        <v>1.9907407407407408E-3</v>
      </c>
      <c r="J121" s="2">
        <v>87</v>
      </c>
      <c r="K121" s="1">
        <v>2.9525462962962962E-2</v>
      </c>
      <c r="L121" s="2">
        <v>119</v>
      </c>
      <c r="M121" s="1">
        <v>9.0277777777777774E-4</v>
      </c>
      <c r="N121" s="2">
        <v>18</v>
      </c>
      <c r="O121" s="1">
        <v>1.4537037037037038E-2</v>
      </c>
      <c r="P121" s="2">
        <v>47</v>
      </c>
      <c r="Q121" s="1">
        <v>5.980324074074074E-2</v>
      </c>
      <c r="R121" s="2">
        <v>77</v>
      </c>
      <c r="S121">
        <v>77</v>
      </c>
      <c r="T121">
        <v>30</v>
      </c>
      <c r="U121">
        <v>2</v>
      </c>
      <c r="V121" t="s">
        <v>19</v>
      </c>
      <c r="W121">
        <v>55</v>
      </c>
      <c r="X121" s="54">
        <f>Table1[[#This Row],[Gender Place]]/$Z$3</f>
        <v>0.6470588235294118</v>
      </c>
    </row>
    <row r="122" spans="2:24" x14ac:dyDescent="0.2">
      <c r="B122">
        <v>308</v>
      </c>
      <c r="C122" t="s">
        <v>199</v>
      </c>
      <c r="D122" t="s">
        <v>34</v>
      </c>
      <c r="E122" t="s">
        <v>200</v>
      </c>
      <c r="F122" s="1">
        <v>0.45833333333333331</v>
      </c>
      <c r="G122" s="1">
        <v>1.5300925925925926E-2</v>
      </c>
      <c r="H122" s="2">
        <v>124</v>
      </c>
      <c r="I122" s="1">
        <v>2.1064814814814813E-3</v>
      </c>
      <c r="J122" s="2">
        <v>92</v>
      </c>
      <c r="K122" s="1">
        <v>2.9548611111111112E-2</v>
      </c>
      <c r="L122" s="2">
        <v>120</v>
      </c>
      <c r="M122" s="1">
        <v>1.4120370370370369E-3</v>
      </c>
      <c r="N122" s="2">
        <v>95</v>
      </c>
      <c r="O122" s="1">
        <v>1.7326388888888888E-2</v>
      </c>
      <c r="P122" s="2">
        <v>97</v>
      </c>
      <c r="Q122" s="1">
        <v>6.5717592592592591E-2</v>
      </c>
      <c r="R122" s="2">
        <v>114</v>
      </c>
      <c r="S122">
        <v>114</v>
      </c>
      <c r="T122">
        <v>19</v>
      </c>
      <c r="U122">
        <v>63</v>
      </c>
      <c r="V122" t="s">
        <v>19</v>
      </c>
      <c r="W122">
        <v>71</v>
      </c>
      <c r="X122" s="54">
        <f>Table1[[#This Row],[Gender Place]]/$Z$3</f>
        <v>0.83529411764705885</v>
      </c>
    </row>
    <row r="123" spans="2:24" x14ac:dyDescent="0.2">
      <c r="B123">
        <v>300</v>
      </c>
      <c r="C123" t="s">
        <v>233</v>
      </c>
      <c r="D123" t="s">
        <v>42</v>
      </c>
      <c r="E123" t="s">
        <v>234</v>
      </c>
      <c r="F123" s="1">
        <v>0.45833333333333331</v>
      </c>
      <c r="G123" s="1">
        <v>2.0254629629629629E-2</v>
      </c>
      <c r="H123" s="2">
        <v>138</v>
      </c>
      <c r="I123" s="1">
        <v>3.1481481481481482E-3</v>
      </c>
      <c r="J123" s="2">
        <v>136</v>
      </c>
      <c r="K123" s="1">
        <v>2.9756944444444444E-2</v>
      </c>
      <c r="L123" s="2">
        <v>121</v>
      </c>
      <c r="M123" s="1">
        <v>2.7199074074074074E-3</v>
      </c>
      <c r="N123" s="2">
        <v>145</v>
      </c>
      <c r="O123" s="1">
        <v>2.298611111111111E-2</v>
      </c>
      <c r="P123" s="2">
        <v>142</v>
      </c>
      <c r="Q123" s="1">
        <v>7.8900462962962964E-2</v>
      </c>
      <c r="R123" s="2">
        <v>140</v>
      </c>
      <c r="S123">
        <v>140</v>
      </c>
      <c r="T123">
        <v>20</v>
      </c>
      <c r="U123">
        <v>69</v>
      </c>
      <c r="V123" t="s">
        <v>19</v>
      </c>
      <c r="W123">
        <v>80</v>
      </c>
      <c r="X123" s="54">
        <f>Table1[[#This Row],[Gender Place]]/$Z$3</f>
        <v>0.94117647058823528</v>
      </c>
    </row>
    <row r="124" spans="2:24" x14ac:dyDescent="0.2">
      <c r="B124">
        <v>340</v>
      </c>
      <c r="C124" t="s">
        <v>183</v>
      </c>
      <c r="D124" t="s">
        <v>24</v>
      </c>
      <c r="E124" t="s">
        <v>77</v>
      </c>
      <c r="F124" s="1">
        <v>0.46527777777777779</v>
      </c>
      <c r="G124" s="1">
        <v>1.255787037037037E-2</v>
      </c>
      <c r="H124" s="2">
        <v>71</v>
      </c>
      <c r="I124" s="1">
        <v>1.712962962962963E-3</v>
      </c>
      <c r="J124" s="2">
        <v>55</v>
      </c>
      <c r="K124" s="1">
        <v>2.9791666666666668E-2</v>
      </c>
      <c r="L124" s="2">
        <v>122</v>
      </c>
      <c r="M124" s="1">
        <v>2.5115740740740741E-3</v>
      </c>
      <c r="N124" s="2">
        <v>142</v>
      </c>
      <c r="O124" s="1">
        <v>1.7256944444444443E-2</v>
      </c>
      <c r="P124" s="2">
        <v>95</v>
      </c>
      <c r="Q124" s="1">
        <v>6.384259259259259E-2</v>
      </c>
      <c r="R124" s="2">
        <v>103</v>
      </c>
      <c r="S124">
        <v>103</v>
      </c>
      <c r="T124">
        <v>21</v>
      </c>
      <c r="U124">
        <v>33</v>
      </c>
      <c r="V124" t="s">
        <v>36</v>
      </c>
      <c r="W124">
        <v>37</v>
      </c>
      <c r="X124" s="54">
        <f>Table1[[#This Row],[Gender Place]]/$Z$2</f>
        <v>0.58730158730158732</v>
      </c>
    </row>
    <row r="125" spans="2:24" x14ac:dyDescent="0.2">
      <c r="B125">
        <v>317</v>
      </c>
      <c r="C125" t="s">
        <v>240</v>
      </c>
      <c r="E125" t="s">
        <v>64</v>
      </c>
      <c r="F125" s="1">
        <v>0.45833333333333331</v>
      </c>
      <c r="G125" s="1">
        <v>2.3171296296296297E-2</v>
      </c>
      <c r="H125" s="2">
        <v>142</v>
      </c>
      <c r="I125" s="1">
        <v>4.1203703703703706E-3</v>
      </c>
      <c r="J125" s="2">
        <v>146</v>
      </c>
      <c r="K125" s="1">
        <v>2.991898148148148E-2</v>
      </c>
      <c r="L125" s="2">
        <v>123</v>
      </c>
      <c r="M125" s="1">
        <v>5.1736111111111115E-3</v>
      </c>
      <c r="N125" s="2">
        <v>147</v>
      </c>
      <c r="O125" s="1">
        <v>2.7256944444444445E-2</v>
      </c>
      <c r="P125" s="2">
        <v>146</v>
      </c>
      <c r="Q125" s="1">
        <v>8.9664351851851856E-2</v>
      </c>
      <c r="R125" s="2">
        <v>145</v>
      </c>
      <c r="S125">
        <v>145</v>
      </c>
      <c r="T125">
        <v>56</v>
      </c>
      <c r="U125">
        <v>1</v>
      </c>
      <c r="V125" t="s">
        <v>19</v>
      </c>
      <c r="W125">
        <v>83</v>
      </c>
      <c r="X125" s="54">
        <f>Table1[[#This Row],[Gender Place]]/$Z$3</f>
        <v>0.97647058823529409</v>
      </c>
    </row>
    <row r="126" spans="2:24" x14ac:dyDescent="0.2">
      <c r="B126" s="3">
        <v>272</v>
      </c>
      <c r="C126" s="3" t="s">
        <v>169</v>
      </c>
      <c r="D126" s="3" t="s">
        <v>31</v>
      </c>
      <c r="E126" s="3" t="s">
        <v>170</v>
      </c>
      <c r="F126" s="4">
        <v>0.46527777777777779</v>
      </c>
      <c r="G126" s="4">
        <v>1.2789351851851852E-2</v>
      </c>
      <c r="H126" s="5">
        <v>80</v>
      </c>
      <c r="I126" s="4">
        <v>1.5509259259259259E-3</v>
      </c>
      <c r="J126" s="5">
        <v>39</v>
      </c>
      <c r="K126" s="4">
        <v>2.9988425925925925E-2</v>
      </c>
      <c r="L126" s="5">
        <v>124</v>
      </c>
      <c r="M126" s="4">
        <v>1.1574074074074073E-3</v>
      </c>
      <c r="N126" s="5">
        <v>61</v>
      </c>
      <c r="O126" s="4">
        <v>1.6631944444444446E-2</v>
      </c>
      <c r="P126" s="5">
        <v>88</v>
      </c>
      <c r="Q126" s="4">
        <v>6.2141203703703705E-2</v>
      </c>
      <c r="R126" s="5">
        <v>92</v>
      </c>
      <c r="S126" s="3">
        <v>92</v>
      </c>
      <c r="T126" s="3">
        <v>22</v>
      </c>
      <c r="U126" s="3">
        <v>29</v>
      </c>
      <c r="V126" s="3" t="s">
        <v>36</v>
      </c>
      <c r="W126" s="3">
        <v>31</v>
      </c>
      <c r="X126" s="54">
        <f>Table1[[#This Row],[Gender Place]]/$Z$2</f>
        <v>0.49206349206349204</v>
      </c>
    </row>
    <row r="127" spans="2:24" x14ac:dyDescent="0.2">
      <c r="B127">
        <v>310</v>
      </c>
      <c r="C127" t="s">
        <v>214</v>
      </c>
      <c r="D127" t="s">
        <v>34</v>
      </c>
      <c r="E127" t="s">
        <v>185</v>
      </c>
      <c r="F127" s="1">
        <v>0.46527777777777779</v>
      </c>
      <c r="G127" s="1">
        <v>1.2835648148148148E-2</v>
      </c>
      <c r="H127" s="2">
        <v>83</v>
      </c>
      <c r="I127" s="1">
        <v>3.6458333333333334E-3</v>
      </c>
      <c r="J127" s="2">
        <v>139</v>
      </c>
      <c r="K127" s="1">
        <v>3.0393518518518518E-2</v>
      </c>
      <c r="L127" s="2">
        <v>125</v>
      </c>
      <c r="M127" s="1">
        <v>1.1921296296296296E-3</v>
      </c>
      <c r="N127" s="2">
        <v>71</v>
      </c>
      <c r="O127" s="1">
        <v>2.1157407407407406E-2</v>
      </c>
      <c r="P127" s="2">
        <v>138</v>
      </c>
      <c r="Q127" s="1">
        <v>6.924768518518519E-2</v>
      </c>
      <c r="R127" s="2">
        <v>125</v>
      </c>
      <c r="S127">
        <v>125</v>
      </c>
      <c r="T127">
        <v>21</v>
      </c>
      <c r="U127">
        <v>45</v>
      </c>
      <c r="V127" t="s">
        <v>36</v>
      </c>
      <c r="W127">
        <v>50</v>
      </c>
      <c r="X127" s="54">
        <f>Table1[[#This Row],[Gender Place]]/$Z$2</f>
        <v>0.79365079365079361</v>
      </c>
    </row>
    <row r="128" spans="2:24" x14ac:dyDescent="0.2">
      <c r="B128">
        <v>298</v>
      </c>
      <c r="C128" t="s">
        <v>216</v>
      </c>
      <c r="D128" t="s">
        <v>145</v>
      </c>
      <c r="E128" t="s">
        <v>217</v>
      </c>
      <c r="F128" s="1">
        <v>0.45833333333333331</v>
      </c>
      <c r="G128" s="1">
        <v>1.1759259259259259E-2</v>
      </c>
      <c r="H128" s="2">
        <v>49</v>
      </c>
      <c r="I128" s="1">
        <v>2.2106481481481482E-3</v>
      </c>
      <c r="J128" s="2">
        <v>101</v>
      </c>
      <c r="K128" s="1">
        <v>3.0821759259259261E-2</v>
      </c>
      <c r="L128" s="2">
        <v>126</v>
      </c>
      <c r="M128" s="1">
        <v>2.6157407407407405E-3</v>
      </c>
      <c r="N128" s="2">
        <v>143</v>
      </c>
      <c r="O128" s="1">
        <v>2.3090277777777779E-2</v>
      </c>
      <c r="P128" s="2">
        <v>143</v>
      </c>
      <c r="Q128" s="1">
        <v>7.0520833333333338E-2</v>
      </c>
      <c r="R128" s="2">
        <v>127</v>
      </c>
      <c r="S128">
        <v>127</v>
      </c>
      <c r="T128">
        <v>22</v>
      </c>
      <c r="U128">
        <v>67</v>
      </c>
      <c r="V128" t="s">
        <v>19</v>
      </c>
      <c r="W128">
        <v>76</v>
      </c>
      <c r="X128" s="54">
        <f>Table1[[#This Row],[Gender Place]]/$Z$3</f>
        <v>0.89411764705882357</v>
      </c>
    </row>
    <row r="129" spans="2:24" x14ac:dyDescent="0.2">
      <c r="B129">
        <v>312</v>
      </c>
      <c r="C129" t="s">
        <v>196</v>
      </c>
      <c r="E129" t="s">
        <v>197</v>
      </c>
      <c r="F129" s="1">
        <v>0.45833333333333331</v>
      </c>
      <c r="G129" s="1">
        <v>1.4097222222222223E-2</v>
      </c>
      <c r="H129" s="2">
        <v>105</v>
      </c>
      <c r="I129" s="1">
        <v>2.7546296296296294E-3</v>
      </c>
      <c r="J129" s="2">
        <v>124</v>
      </c>
      <c r="K129" s="1">
        <v>3.0868055555555555E-2</v>
      </c>
      <c r="L129" s="2">
        <v>127</v>
      </c>
      <c r="M129" s="1">
        <v>9.837962962962962E-4</v>
      </c>
      <c r="N129" s="2">
        <v>31</v>
      </c>
      <c r="O129" s="1">
        <v>1.6701388888888891E-2</v>
      </c>
      <c r="P129" s="2">
        <v>91</v>
      </c>
      <c r="Q129" s="1">
        <v>6.5428240740740745E-2</v>
      </c>
      <c r="R129" s="2">
        <v>112</v>
      </c>
      <c r="S129">
        <v>112</v>
      </c>
      <c r="T129">
        <v>22</v>
      </c>
      <c r="U129">
        <v>61</v>
      </c>
      <c r="V129" t="s">
        <v>19</v>
      </c>
      <c r="W129">
        <v>69</v>
      </c>
      <c r="X129" s="54">
        <f>Table1[[#This Row],[Gender Place]]/$Z$3</f>
        <v>0.81176470588235294</v>
      </c>
    </row>
    <row r="130" spans="2:24" x14ac:dyDescent="0.2">
      <c r="B130">
        <v>322</v>
      </c>
      <c r="C130" t="s">
        <v>202</v>
      </c>
      <c r="D130" t="s">
        <v>34</v>
      </c>
      <c r="E130" t="s">
        <v>203</v>
      </c>
      <c r="F130" s="1">
        <v>0.46527777777777779</v>
      </c>
      <c r="G130" s="1">
        <v>1.1319444444444444E-2</v>
      </c>
      <c r="H130" s="2">
        <v>34</v>
      </c>
      <c r="I130" s="1">
        <v>2.0949074074074073E-3</v>
      </c>
      <c r="J130" s="2">
        <v>91</v>
      </c>
      <c r="K130" s="1">
        <v>3.107638888888889E-2</v>
      </c>
      <c r="L130" s="2">
        <v>128</v>
      </c>
      <c r="M130" s="1">
        <v>1.8402777777777777E-3</v>
      </c>
      <c r="N130" s="2">
        <v>132</v>
      </c>
      <c r="O130" s="1">
        <v>2.0162037037037037E-2</v>
      </c>
      <c r="P130" s="2">
        <v>132</v>
      </c>
      <c r="Q130" s="1">
        <v>6.6516203703703702E-2</v>
      </c>
      <c r="R130" s="2">
        <v>116</v>
      </c>
      <c r="S130">
        <v>116</v>
      </c>
      <c r="T130">
        <v>18</v>
      </c>
      <c r="U130">
        <v>39</v>
      </c>
      <c r="V130" t="s">
        <v>36</v>
      </c>
      <c r="W130">
        <v>44</v>
      </c>
      <c r="X130" s="54">
        <f>Table1[[#This Row],[Gender Place]]/$Z$2</f>
        <v>0.69841269841269837</v>
      </c>
    </row>
    <row r="131" spans="2:24" x14ac:dyDescent="0.2">
      <c r="B131">
        <v>229</v>
      </c>
      <c r="C131" t="s">
        <v>231</v>
      </c>
      <c r="E131" t="s">
        <v>232</v>
      </c>
      <c r="F131" s="1">
        <v>0.46527777777777779</v>
      </c>
      <c r="G131" s="1">
        <v>2.087962962962963E-2</v>
      </c>
      <c r="H131" s="2">
        <v>140</v>
      </c>
      <c r="I131" s="1">
        <v>2.0486111111111113E-3</v>
      </c>
      <c r="J131" s="2">
        <v>89</v>
      </c>
      <c r="K131" s="1">
        <v>3.1342592592592596E-2</v>
      </c>
      <c r="L131" s="2">
        <v>129</v>
      </c>
      <c r="M131" s="1">
        <v>1.7592592592592592E-3</v>
      </c>
      <c r="N131" s="2">
        <v>128</v>
      </c>
      <c r="O131" s="1">
        <v>1.9479166666666665E-2</v>
      </c>
      <c r="P131" s="2">
        <v>128</v>
      </c>
      <c r="Q131" s="1">
        <v>7.5520833333333329E-2</v>
      </c>
      <c r="R131" s="2">
        <v>139</v>
      </c>
      <c r="S131">
        <v>139</v>
      </c>
      <c r="T131">
        <v>20</v>
      </c>
      <c r="U131">
        <v>55</v>
      </c>
      <c r="V131" t="s">
        <v>36</v>
      </c>
      <c r="W131">
        <v>60</v>
      </c>
      <c r="X131" s="54">
        <f>Table1[[#This Row],[Gender Place]]/$Z$2</f>
        <v>0.95238095238095233</v>
      </c>
    </row>
    <row r="132" spans="2:24" x14ac:dyDescent="0.2">
      <c r="B132">
        <v>313</v>
      </c>
      <c r="C132" t="s">
        <v>222</v>
      </c>
      <c r="D132" t="s">
        <v>34</v>
      </c>
      <c r="E132" t="s">
        <v>27</v>
      </c>
      <c r="F132" s="1">
        <v>0.46527777777777779</v>
      </c>
      <c r="G132" s="1">
        <v>1.7673611111111112E-2</v>
      </c>
      <c r="H132" s="2">
        <v>132</v>
      </c>
      <c r="I132" s="1">
        <v>2.5462962962962965E-3</v>
      </c>
      <c r="J132" s="2">
        <v>120</v>
      </c>
      <c r="K132" s="1">
        <v>3.1458333333333331E-2</v>
      </c>
      <c r="L132" s="2">
        <v>130</v>
      </c>
      <c r="M132" s="1">
        <v>2.2569444444444442E-3</v>
      </c>
      <c r="N132" s="2">
        <v>139</v>
      </c>
      <c r="O132" s="1">
        <v>1.744212962962963E-2</v>
      </c>
      <c r="P132" s="2">
        <v>99</v>
      </c>
      <c r="Q132" s="1">
        <v>7.1412037037037038E-2</v>
      </c>
      <c r="R132" s="2">
        <v>132</v>
      </c>
      <c r="S132">
        <v>132</v>
      </c>
      <c r="T132">
        <v>21</v>
      </c>
      <c r="U132">
        <v>48</v>
      </c>
      <c r="V132" t="s">
        <v>36</v>
      </c>
      <c r="W132">
        <v>53</v>
      </c>
      <c r="X132" s="54">
        <f>Table1[[#This Row],[Gender Place]]/$Z$2</f>
        <v>0.84126984126984128</v>
      </c>
    </row>
    <row r="133" spans="2:24" x14ac:dyDescent="0.2">
      <c r="B133">
        <v>264</v>
      </c>
      <c r="C133" t="s">
        <v>220</v>
      </c>
      <c r="E133" t="s">
        <v>40</v>
      </c>
      <c r="F133" s="1">
        <v>0.46527777777777779</v>
      </c>
      <c r="G133" s="1">
        <v>1.4502314814814815E-2</v>
      </c>
      <c r="H133" s="2">
        <v>111</v>
      </c>
      <c r="I133" s="1">
        <v>4.0162037037037041E-3</v>
      </c>
      <c r="J133" s="2">
        <v>144</v>
      </c>
      <c r="K133" s="1">
        <v>3.1932870370370368E-2</v>
      </c>
      <c r="L133" s="2">
        <v>131</v>
      </c>
      <c r="M133" s="1">
        <v>2.0138888888888888E-3</v>
      </c>
      <c r="N133" s="2">
        <v>136</v>
      </c>
      <c r="O133" s="1">
        <v>1.8749999999999999E-2</v>
      </c>
      <c r="P133" s="2">
        <v>119</v>
      </c>
      <c r="Q133" s="1">
        <v>7.1238425925925927E-2</v>
      </c>
      <c r="R133" s="2">
        <v>130</v>
      </c>
      <c r="S133">
        <v>130</v>
      </c>
      <c r="T133">
        <v>20</v>
      </c>
      <c r="U133">
        <v>47</v>
      </c>
      <c r="V133" t="s">
        <v>36</v>
      </c>
      <c r="W133">
        <v>52</v>
      </c>
      <c r="X133" s="54">
        <f>Table1[[#This Row],[Gender Place]]/$Z$2</f>
        <v>0.82539682539682535</v>
      </c>
    </row>
    <row r="134" spans="2:24" x14ac:dyDescent="0.2">
      <c r="B134">
        <v>358</v>
      </c>
      <c r="C134" t="s">
        <v>218</v>
      </c>
      <c r="E134" t="s">
        <v>40</v>
      </c>
      <c r="F134" s="1">
        <v>0.45833333333333331</v>
      </c>
      <c r="G134" s="1">
        <v>1.5069444444444444E-2</v>
      </c>
      <c r="H134" s="2">
        <v>119</v>
      </c>
      <c r="I134" s="1">
        <v>2.8935185185185184E-3</v>
      </c>
      <c r="J134" s="2">
        <v>133</v>
      </c>
      <c r="K134" s="1">
        <v>3.2025462962962964E-2</v>
      </c>
      <c r="L134" s="2">
        <v>132</v>
      </c>
      <c r="M134" s="1">
        <v>1.8171296296296297E-3</v>
      </c>
      <c r="N134" s="2">
        <v>131</v>
      </c>
      <c r="O134" s="1">
        <v>1.9270833333333334E-2</v>
      </c>
      <c r="P134" s="2">
        <v>127</v>
      </c>
      <c r="Q134" s="1">
        <v>7.1111111111111111E-2</v>
      </c>
      <c r="R134" s="2">
        <v>128</v>
      </c>
      <c r="S134">
        <v>128</v>
      </c>
      <c r="T134">
        <v>25</v>
      </c>
      <c r="U134">
        <v>7</v>
      </c>
      <c r="V134" t="s">
        <v>19</v>
      </c>
      <c r="W134">
        <v>77</v>
      </c>
      <c r="X134" s="54">
        <f>Table1[[#This Row],[Gender Place]]/$Z$3</f>
        <v>0.90588235294117647</v>
      </c>
    </row>
    <row r="135" spans="2:24" x14ac:dyDescent="0.2">
      <c r="B135">
        <v>241</v>
      </c>
      <c r="C135" t="s">
        <v>224</v>
      </c>
      <c r="D135" t="s">
        <v>60</v>
      </c>
      <c r="E135" t="s">
        <v>70</v>
      </c>
      <c r="F135" s="1">
        <v>0.46527777777777779</v>
      </c>
      <c r="G135" s="1">
        <v>2.0069444444444445E-2</v>
      </c>
      <c r="H135" s="2">
        <v>137</v>
      </c>
      <c r="I135" s="1">
        <v>3.2870370370370371E-3</v>
      </c>
      <c r="J135" s="2">
        <v>137</v>
      </c>
      <c r="K135" s="1">
        <v>3.2500000000000001E-2</v>
      </c>
      <c r="L135" s="2">
        <v>133</v>
      </c>
      <c r="M135" s="1">
        <v>1.2962962962962963E-3</v>
      </c>
      <c r="N135" s="2">
        <v>83</v>
      </c>
      <c r="O135" s="1">
        <v>1.5729166666666666E-2</v>
      </c>
      <c r="P135" s="2">
        <v>74</v>
      </c>
      <c r="Q135" s="1">
        <v>7.2905092592592591E-2</v>
      </c>
      <c r="R135" s="2">
        <v>134</v>
      </c>
      <c r="S135">
        <v>134</v>
      </c>
      <c r="T135">
        <v>18</v>
      </c>
      <c r="U135">
        <v>50</v>
      </c>
      <c r="V135" t="s">
        <v>36</v>
      </c>
      <c r="W135">
        <v>55</v>
      </c>
      <c r="X135" s="54">
        <f>Table1[[#This Row],[Gender Place]]/$Z$2</f>
        <v>0.87301587301587302</v>
      </c>
    </row>
    <row r="136" spans="2:24" x14ac:dyDescent="0.2">
      <c r="B136">
        <v>305</v>
      </c>
      <c r="C136" t="s">
        <v>225</v>
      </c>
      <c r="D136" t="s">
        <v>34</v>
      </c>
      <c r="E136" t="s">
        <v>226</v>
      </c>
      <c r="F136" s="1">
        <v>0.46527777777777779</v>
      </c>
      <c r="G136" s="1">
        <v>1.8090277777777778E-2</v>
      </c>
      <c r="H136" s="2">
        <v>133</v>
      </c>
      <c r="I136" s="1">
        <v>2.2800925925925927E-3</v>
      </c>
      <c r="J136" s="2">
        <v>109</v>
      </c>
      <c r="K136" s="1">
        <v>3.2534722222222222E-2</v>
      </c>
      <c r="L136" s="2">
        <v>134</v>
      </c>
      <c r="M136" s="1">
        <v>1.6087962962962963E-3</v>
      </c>
      <c r="N136" s="2">
        <v>120</v>
      </c>
      <c r="O136" s="1">
        <v>1.8541666666666668E-2</v>
      </c>
      <c r="P136" s="2">
        <v>118</v>
      </c>
      <c r="Q136" s="1">
        <v>7.3067129629629635E-2</v>
      </c>
      <c r="R136" s="2">
        <v>135</v>
      </c>
      <c r="S136">
        <v>135</v>
      </c>
      <c r="T136">
        <v>18</v>
      </c>
      <c r="U136">
        <v>51</v>
      </c>
      <c r="V136" t="s">
        <v>36</v>
      </c>
      <c r="W136">
        <v>56</v>
      </c>
      <c r="X136" s="54">
        <f>Table1[[#This Row],[Gender Place]]/$Z$2</f>
        <v>0.88888888888888884</v>
      </c>
    </row>
    <row r="137" spans="2:24" x14ac:dyDescent="0.2">
      <c r="B137" s="3">
        <v>281</v>
      </c>
      <c r="C137" s="3" t="s">
        <v>208</v>
      </c>
      <c r="D137" s="3" t="s">
        <v>31</v>
      </c>
      <c r="E137" s="3" t="s">
        <v>99</v>
      </c>
      <c r="F137" s="4">
        <v>0.46527777777777779</v>
      </c>
      <c r="G137" s="4">
        <v>1.5173611111111112E-2</v>
      </c>
      <c r="H137" s="5">
        <v>122</v>
      </c>
      <c r="I137" s="4">
        <v>1.7592592592592592E-3</v>
      </c>
      <c r="J137" s="5">
        <v>59</v>
      </c>
      <c r="K137" s="4">
        <v>3.2604166666666663E-2</v>
      </c>
      <c r="L137" s="5">
        <v>135</v>
      </c>
      <c r="M137" s="4">
        <v>8.6805555555555551E-4</v>
      </c>
      <c r="N137" s="5">
        <v>14</v>
      </c>
      <c r="O137" s="4">
        <v>1.7291666666666667E-2</v>
      </c>
      <c r="P137" s="5">
        <v>96</v>
      </c>
      <c r="Q137" s="4">
        <v>6.7719907407407409E-2</v>
      </c>
      <c r="R137" s="5">
        <v>120</v>
      </c>
      <c r="S137" s="3">
        <v>120</v>
      </c>
      <c r="T137" s="3">
        <v>18</v>
      </c>
      <c r="U137" s="3">
        <v>42</v>
      </c>
      <c r="V137" s="3" t="s">
        <v>36</v>
      </c>
      <c r="W137" s="3">
        <v>47</v>
      </c>
      <c r="X137" s="54">
        <f>Table1[[#This Row],[Gender Place]]/$Z$2</f>
        <v>0.74603174603174605</v>
      </c>
    </row>
    <row r="138" spans="2:24" x14ac:dyDescent="0.2">
      <c r="B138">
        <v>388</v>
      </c>
      <c r="C138" t="s">
        <v>215</v>
      </c>
      <c r="D138" t="s">
        <v>60</v>
      </c>
      <c r="E138" t="s">
        <v>164</v>
      </c>
      <c r="F138" s="1">
        <v>0.46527777777777779</v>
      </c>
      <c r="G138" s="1">
        <v>1.2488425925925925E-2</v>
      </c>
      <c r="H138" s="2">
        <v>65</v>
      </c>
      <c r="I138" s="1">
        <v>2.488425925925926E-3</v>
      </c>
      <c r="J138" s="2">
        <v>114</v>
      </c>
      <c r="K138" s="1">
        <v>3.2858796296296296E-2</v>
      </c>
      <c r="L138" s="2">
        <v>136</v>
      </c>
      <c r="M138" s="1">
        <v>1.2731481481481483E-3</v>
      </c>
      <c r="N138" s="2">
        <v>78</v>
      </c>
      <c r="O138" s="1">
        <v>2.0983796296296296E-2</v>
      </c>
      <c r="P138" s="2">
        <v>136</v>
      </c>
      <c r="Q138" s="1">
        <v>7.0115740740740742E-2</v>
      </c>
      <c r="R138" s="2">
        <v>126</v>
      </c>
      <c r="S138">
        <v>126</v>
      </c>
      <c r="T138">
        <v>18</v>
      </c>
      <c r="U138">
        <v>46</v>
      </c>
      <c r="V138" t="s">
        <v>36</v>
      </c>
      <c r="W138">
        <v>51</v>
      </c>
      <c r="X138" s="54">
        <f>Table1[[#This Row],[Gender Place]]/$Z$2</f>
        <v>0.80952380952380953</v>
      </c>
    </row>
    <row r="139" spans="2:24" x14ac:dyDescent="0.2">
      <c r="B139">
        <v>257</v>
      </c>
      <c r="C139" t="s">
        <v>221</v>
      </c>
      <c r="E139" t="s">
        <v>40</v>
      </c>
      <c r="F139" s="1">
        <v>0.45833333333333331</v>
      </c>
      <c r="G139" s="1">
        <v>1.4224537037037037E-2</v>
      </c>
      <c r="H139" s="2">
        <v>109</v>
      </c>
      <c r="I139" s="1">
        <v>5.0347222222222225E-3</v>
      </c>
      <c r="J139" s="2">
        <v>148</v>
      </c>
      <c r="K139" s="1">
        <v>3.3148148148148149E-2</v>
      </c>
      <c r="L139" s="2">
        <v>137</v>
      </c>
      <c r="M139" s="1">
        <v>1.6435185185185185E-3</v>
      </c>
      <c r="N139" s="2">
        <v>122</v>
      </c>
      <c r="O139" s="1">
        <v>1.7222222222222222E-2</v>
      </c>
      <c r="P139" s="2">
        <v>94</v>
      </c>
      <c r="Q139" s="1">
        <v>7.1307870370370369E-2</v>
      </c>
      <c r="R139" s="2">
        <v>131</v>
      </c>
      <c r="S139">
        <v>131</v>
      </c>
      <c r="T139">
        <v>25</v>
      </c>
      <c r="U139">
        <v>8</v>
      </c>
      <c r="V139" t="s">
        <v>19</v>
      </c>
      <c r="W139">
        <v>79</v>
      </c>
      <c r="X139" s="54">
        <f>Table1[[#This Row],[Gender Place]]/$Z$3</f>
        <v>0.92941176470588238</v>
      </c>
    </row>
    <row r="140" spans="2:24" x14ac:dyDescent="0.2">
      <c r="B140">
        <v>242</v>
      </c>
      <c r="C140" t="s">
        <v>242</v>
      </c>
      <c r="E140" t="s">
        <v>226</v>
      </c>
      <c r="F140" s="1">
        <v>0.46527777777777779</v>
      </c>
      <c r="G140" s="1">
        <v>5.7951388888888886E-2</v>
      </c>
      <c r="H140" s="2">
        <v>148</v>
      </c>
      <c r="I140" s="1">
        <v>4.0856481481481481E-3</v>
      </c>
      <c r="J140" s="2">
        <v>145</v>
      </c>
      <c r="K140" s="1">
        <v>3.3252314814814818E-2</v>
      </c>
      <c r="L140" s="2">
        <v>138</v>
      </c>
      <c r="M140" s="1">
        <v>1.9328703703703704E-3</v>
      </c>
      <c r="N140" s="2">
        <v>134</v>
      </c>
      <c r="O140" s="1">
        <v>1.7974537037037035E-2</v>
      </c>
      <c r="P140" s="2">
        <v>111</v>
      </c>
      <c r="Q140" s="1">
        <v>0.11521990740740741</v>
      </c>
      <c r="R140" s="2">
        <v>147</v>
      </c>
      <c r="S140">
        <v>147</v>
      </c>
      <c r="T140">
        <v>26</v>
      </c>
      <c r="U140">
        <v>7</v>
      </c>
      <c r="V140" t="s">
        <v>36</v>
      </c>
      <c r="W140">
        <v>64</v>
      </c>
      <c r="X140" s="54">
        <f>Table1[[#This Row],[Gender Place]]/$Z$2</f>
        <v>1.0158730158730158</v>
      </c>
    </row>
    <row r="141" spans="2:24" x14ac:dyDescent="0.2">
      <c r="B141">
        <v>335</v>
      </c>
      <c r="C141" t="s">
        <v>227</v>
      </c>
      <c r="D141" t="s">
        <v>34</v>
      </c>
      <c r="E141" t="s">
        <v>35</v>
      </c>
      <c r="F141" s="1">
        <v>0.46527777777777779</v>
      </c>
      <c r="G141" s="1">
        <v>1.525462962962963E-2</v>
      </c>
      <c r="H141" s="2">
        <v>123</v>
      </c>
      <c r="I141" s="1">
        <v>2.5115740740740741E-3</v>
      </c>
      <c r="J141" s="2">
        <v>117</v>
      </c>
      <c r="K141" s="1">
        <v>3.3310185185185186E-2</v>
      </c>
      <c r="L141" s="2">
        <v>139</v>
      </c>
      <c r="M141" s="1">
        <v>1.724537037037037E-3</v>
      </c>
      <c r="N141" s="2">
        <v>127</v>
      </c>
      <c r="O141" s="1">
        <v>2.0324074074074074E-2</v>
      </c>
      <c r="P141" s="2">
        <v>133</v>
      </c>
      <c r="Q141" s="1">
        <v>7.3148148148148143E-2</v>
      </c>
      <c r="R141" s="2">
        <v>136</v>
      </c>
      <c r="S141">
        <v>136</v>
      </c>
      <c r="T141">
        <v>21</v>
      </c>
      <c r="U141">
        <v>52</v>
      </c>
      <c r="V141" t="s">
        <v>36</v>
      </c>
      <c r="W141">
        <v>57</v>
      </c>
      <c r="X141" s="54">
        <f>Table1[[#This Row],[Gender Place]]/$Z$2</f>
        <v>0.90476190476190477</v>
      </c>
    </row>
    <row r="142" spans="2:24" x14ac:dyDescent="0.2">
      <c r="B142">
        <v>393</v>
      </c>
      <c r="C142" t="s">
        <v>211</v>
      </c>
      <c r="D142" t="s">
        <v>21</v>
      </c>
      <c r="E142" t="s">
        <v>133</v>
      </c>
      <c r="F142" s="1">
        <v>0.45833333333333331</v>
      </c>
      <c r="G142" s="1">
        <v>1.0937499999999999E-2</v>
      </c>
      <c r="H142" s="2">
        <v>30</v>
      </c>
      <c r="I142" s="1">
        <v>2.2685185185185187E-3</v>
      </c>
      <c r="J142" s="2">
        <v>107</v>
      </c>
      <c r="K142" s="1">
        <v>3.335648148148148E-2</v>
      </c>
      <c r="L142" s="2">
        <v>140</v>
      </c>
      <c r="M142" s="1">
        <v>1.712962962962963E-3</v>
      </c>
      <c r="N142" s="2">
        <v>126</v>
      </c>
      <c r="O142" s="1">
        <v>2.0717592592592593E-2</v>
      </c>
      <c r="P142" s="2">
        <v>134</v>
      </c>
      <c r="Q142" s="1">
        <v>6.9016203703703705E-2</v>
      </c>
      <c r="R142" s="2">
        <v>123</v>
      </c>
      <c r="S142">
        <v>123</v>
      </c>
      <c r="T142">
        <v>19</v>
      </c>
      <c r="U142">
        <v>65</v>
      </c>
      <c r="V142" t="s">
        <v>19</v>
      </c>
      <c r="W142">
        <v>74</v>
      </c>
      <c r="X142" s="54">
        <f>Table1[[#This Row],[Gender Place]]/$Z$3</f>
        <v>0.87058823529411766</v>
      </c>
    </row>
    <row r="143" spans="2:24" x14ac:dyDescent="0.2">
      <c r="B143">
        <v>334</v>
      </c>
      <c r="C143" t="s">
        <v>239</v>
      </c>
      <c r="D143" t="s">
        <v>34</v>
      </c>
      <c r="E143" t="s">
        <v>45</v>
      </c>
      <c r="F143" s="1">
        <v>0.46527777777777779</v>
      </c>
      <c r="G143" s="1">
        <v>3.0219907407407407E-2</v>
      </c>
      <c r="H143" s="2">
        <v>145</v>
      </c>
      <c r="I143" s="1">
        <v>3.6689814814814814E-3</v>
      </c>
      <c r="J143" s="2">
        <v>140</v>
      </c>
      <c r="K143" s="1">
        <v>3.3530092592592591E-2</v>
      </c>
      <c r="L143" s="2">
        <v>141</v>
      </c>
      <c r="M143" s="1">
        <v>1.1921296296296296E-3</v>
      </c>
      <c r="N143" s="2">
        <v>72</v>
      </c>
      <c r="O143" s="1">
        <v>1.9930555555555556E-2</v>
      </c>
      <c r="P143" s="2">
        <v>130</v>
      </c>
      <c r="Q143" s="1">
        <v>8.8564814814814818E-2</v>
      </c>
      <c r="R143" s="2">
        <v>144</v>
      </c>
      <c r="S143">
        <v>144</v>
      </c>
      <c r="T143">
        <v>21</v>
      </c>
      <c r="U143">
        <v>57</v>
      </c>
      <c r="V143" t="s">
        <v>36</v>
      </c>
      <c r="W143">
        <v>62</v>
      </c>
      <c r="X143" s="54">
        <f>Table1[[#This Row],[Gender Place]]/$Z$2</f>
        <v>0.98412698412698407</v>
      </c>
    </row>
    <row r="144" spans="2:24" x14ac:dyDescent="0.2">
      <c r="B144" s="3">
        <v>248</v>
      </c>
      <c r="C144" s="3" t="s">
        <v>237</v>
      </c>
      <c r="D144" s="3" t="s">
        <v>31</v>
      </c>
      <c r="E144" s="3" t="s">
        <v>238</v>
      </c>
      <c r="F144" s="4">
        <v>0.45833333333333331</v>
      </c>
      <c r="G144" s="4">
        <v>2.9456018518518517E-2</v>
      </c>
      <c r="H144" s="5">
        <v>144</v>
      </c>
      <c r="I144" s="4">
        <v>4.8495370370370368E-3</v>
      </c>
      <c r="J144" s="5">
        <v>147</v>
      </c>
      <c r="K144" s="4">
        <v>3.3877314814814811E-2</v>
      </c>
      <c r="L144" s="5">
        <v>142</v>
      </c>
      <c r="M144" s="4">
        <v>1.2152777777777778E-3</v>
      </c>
      <c r="N144" s="5">
        <v>74</v>
      </c>
      <c r="O144" s="4">
        <v>1.5335648148148149E-2</v>
      </c>
      <c r="P144" s="5">
        <v>65</v>
      </c>
      <c r="Q144" s="4">
        <v>8.4768518518518521E-2</v>
      </c>
      <c r="R144" s="5">
        <v>143</v>
      </c>
      <c r="S144" s="3">
        <v>143</v>
      </c>
      <c r="T144" s="3">
        <v>18</v>
      </c>
      <c r="U144" s="3">
        <v>71</v>
      </c>
      <c r="V144" s="3" t="s">
        <v>19</v>
      </c>
      <c r="W144" s="3">
        <v>82</v>
      </c>
      <c r="X144" s="54">
        <f>Table1[[#This Row],[Gender Place]]/$Z$3</f>
        <v>0.96470588235294119</v>
      </c>
    </row>
    <row r="145" spans="2:24" x14ac:dyDescent="0.2">
      <c r="B145">
        <v>238</v>
      </c>
      <c r="C145" t="s">
        <v>236</v>
      </c>
      <c r="E145" t="s">
        <v>77</v>
      </c>
      <c r="F145" s="1">
        <v>0.45833333333333331</v>
      </c>
      <c r="G145" s="1">
        <v>2.6481481481481481E-2</v>
      </c>
      <c r="H145" s="2">
        <v>143</v>
      </c>
      <c r="I145" s="1">
        <v>3.4953703703703705E-3</v>
      </c>
      <c r="J145" s="2">
        <v>138</v>
      </c>
      <c r="K145" s="1">
        <v>3.4363425925925929E-2</v>
      </c>
      <c r="L145" s="2">
        <v>143</v>
      </c>
      <c r="M145" s="1">
        <v>1.3657407407407407E-3</v>
      </c>
      <c r="N145" s="2">
        <v>90</v>
      </c>
      <c r="O145" s="1">
        <v>1.8877314814814816E-2</v>
      </c>
      <c r="P145" s="2">
        <v>122</v>
      </c>
      <c r="Q145" s="1">
        <v>8.4618055555555557E-2</v>
      </c>
      <c r="R145" s="2">
        <v>142</v>
      </c>
      <c r="S145">
        <v>142</v>
      </c>
      <c r="T145">
        <v>22</v>
      </c>
      <c r="U145">
        <v>70</v>
      </c>
      <c r="V145" t="s">
        <v>19</v>
      </c>
      <c r="W145">
        <v>81</v>
      </c>
      <c r="X145" s="54">
        <f>Table1[[#This Row],[Gender Place]]/$Z$3</f>
        <v>0.95294117647058818</v>
      </c>
    </row>
    <row r="146" spans="2:24" x14ac:dyDescent="0.2">
      <c r="B146">
        <v>286</v>
      </c>
      <c r="C146" t="s">
        <v>228</v>
      </c>
      <c r="D146" t="s">
        <v>42</v>
      </c>
      <c r="E146" t="s">
        <v>229</v>
      </c>
      <c r="F146" s="1">
        <v>0.46527777777777779</v>
      </c>
      <c r="G146" s="1">
        <v>1.2442129629629629E-2</v>
      </c>
      <c r="H146" s="2">
        <v>63</v>
      </c>
      <c r="I146" s="1">
        <v>2.1180555555555558E-3</v>
      </c>
      <c r="J146" s="2">
        <v>93</v>
      </c>
      <c r="K146" s="1">
        <v>3.4756944444444444E-2</v>
      </c>
      <c r="L146" s="2">
        <v>144</v>
      </c>
      <c r="M146" s="1">
        <v>1.1805555555555556E-3</v>
      </c>
      <c r="N146" s="2">
        <v>66</v>
      </c>
      <c r="O146" s="1">
        <v>2.3518518518518518E-2</v>
      </c>
      <c r="P146" s="2">
        <v>144</v>
      </c>
      <c r="Q146" s="1">
        <v>7.4027777777777776E-2</v>
      </c>
      <c r="R146" s="2">
        <v>137</v>
      </c>
      <c r="S146">
        <v>137</v>
      </c>
      <c r="T146">
        <v>20</v>
      </c>
      <c r="U146">
        <v>53</v>
      </c>
      <c r="V146" t="s">
        <v>36</v>
      </c>
      <c r="W146">
        <v>58</v>
      </c>
      <c r="X146" s="54">
        <f>Table1[[#This Row],[Gender Place]]/$Z$2</f>
        <v>0.92063492063492058</v>
      </c>
    </row>
    <row r="147" spans="2:24" x14ac:dyDescent="0.2">
      <c r="B147">
        <v>402</v>
      </c>
      <c r="C147" t="s">
        <v>230</v>
      </c>
      <c r="D147" t="s">
        <v>145</v>
      </c>
      <c r="E147" t="s">
        <v>64</v>
      </c>
      <c r="F147" s="1">
        <v>0.46527777777777779</v>
      </c>
      <c r="G147" s="1">
        <v>1.2824074074074075E-2</v>
      </c>
      <c r="H147" s="2">
        <v>81</v>
      </c>
      <c r="I147" s="1">
        <v>2.5347222222222221E-3</v>
      </c>
      <c r="J147" s="2">
        <v>118</v>
      </c>
      <c r="K147" s="1">
        <v>3.5300925925925923E-2</v>
      </c>
      <c r="L147" s="2">
        <v>145</v>
      </c>
      <c r="M147" s="1">
        <v>1.2962962962962963E-3</v>
      </c>
      <c r="N147" s="2">
        <v>84</v>
      </c>
      <c r="O147" s="1">
        <v>2.2418981481481481E-2</v>
      </c>
      <c r="P147" s="2">
        <v>141</v>
      </c>
      <c r="Q147" s="1">
        <v>7.4398148148148144E-2</v>
      </c>
      <c r="R147" s="2">
        <v>138</v>
      </c>
      <c r="S147">
        <v>138</v>
      </c>
      <c r="T147">
        <v>21</v>
      </c>
      <c r="U147">
        <v>54</v>
      </c>
      <c r="V147" t="s">
        <v>36</v>
      </c>
      <c r="W147">
        <v>59</v>
      </c>
      <c r="X147" s="54">
        <f>Table1[[#This Row],[Gender Place]]/$Z$2</f>
        <v>0.93650793650793651</v>
      </c>
    </row>
    <row r="148" spans="2:24" x14ac:dyDescent="0.2">
      <c r="B148">
        <v>339</v>
      </c>
      <c r="C148" t="s">
        <v>219</v>
      </c>
      <c r="D148" t="s">
        <v>24</v>
      </c>
      <c r="E148" t="s">
        <v>77</v>
      </c>
      <c r="F148" s="1">
        <v>0.45833333333333331</v>
      </c>
      <c r="G148" s="1">
        <v>1.3530092592592592E-2</v>
      </c>
      <c r="H148" s="2">
        <v>99</v>
      </c>
      <c r="I148" s="1">
        <v>1.9791666666666668E-3</v>
      </c>
      <c r="J148" s="2">
        <v>86</v>
      </c>
      <c r="K148" s="1">
        <v>3.8993055555555559E-2</v>
      </c>
      <c r="L148" s="2">
        <v>146</v>
      </c>
      <c r="M148" s="1">
        <v>1.8634259259259259E-3</v>
      </c>
      <c r="N148" s="2">
        <v>133</v>
      </c>
      <c r="O148" s="1">
        <v>1.4768518518518519E-2</v>
      </c>
      <c r="P148" s="2">
        <v>50</v>
      </c>
      <c r="Q148" s="1">
        <v>7.1168981481481486E-2</v>
      </c>
      <c r="R148" s="2">
        <v>129</v>
      </c>
      <c r="S148">
        <v>129</v>
      </c>
      <c r="T148">
        <v>21</v>
      </c>
      <c r="U148">
        <v>68</v>
      </c>
      <c r="V148" t="s">
        <v>19</v>
      </c>
      <c r="W148">
        <v>78</v>
      </c>
      <c r="X148" s="54">
        <f>Table1[[#This Row],[Gender Place]]/$Z$3</f>
        <v>0.91764705882352937</v>
      </c>
    </row>
    <row r="149" spans="2:24" x14ac:dyDescent="0.2">
      <c r="B149">
        <v>260</v>
      </c>
      <c r="C149" t="s">
        <v>235</v>
      </c>
      <c r="E149" t="s">
        <v>40</v>
      </c>
      <c r="F149" s="1">
        <v>0.46527777777777779</v>
      </c>
      <c r="G149" s="1">
        <v>1.3090277777777777E-2</v>
      </c>
      <c r="H149" s="2">
        <v>89</v>
      </c>
      <c r="I149" s="1">
        <v>3.1018518518518517E-3</v>
      </c>
      <c r="J149" s="2">
        <v>135</v>
      </c>
      <c r="K149" s="1">
        <v>4.3622685185185188E-2</v>
      </c>
      <c r="L149" s="2">
        <v>147</v>
      </c>
      <c r="M149" s="1">
        <v>2.673611111111111E-3</v>
      </c>
      <c r="N149" s="2">
        <v>144</v>
      </c>
      <c r="O149" s="1">
        <v>2.2094907407407407E-2</v>
      </c>
      <c r="P149" s="2">
        <v>140</v>
      </c>
      <c r="Q149" s="1">
        <v>8.4606481481481477E-2</v>
      </c>
      <c r="R149" s="2">
        <v>141</v>
      </c>
      <c r="S149">
        <v>141</v>
      </c>
      <c r="T149">
        <v>19</v>
      </c>
      <c r="U149">
        <v>56</v>
      </c>
      <c r="V149" t="s">
        <v>36</v>
      </c>
      <c r="W149">
        <v>61</v>
      </c>
      <c r="X149" s="54">
        <f>Table1[[#This Row],[Gender Place]]/$Z$2</f>
        <v>0.96825396825396826</v>
      </c>
    </row>
    <row r="150" spans="2:24" x14ac:dyDescent="0.2">
      <c r="B150" s="3">
        <v>280</v>
      </c>
      <c r="C150" s="3" t="s">
        <v>107</v>
      </c>
      <c r="D150" s="3" t="s">
        <v>31</v>
      </c>
      <c r="E150" s="3" t="s">
        <v>99</v>
      </c>
      <c r="F150" s="4">
        <v>0.45833333333333331</v>
      </c>
      <c r="G150" s="4">
        <v>0</v>
      </c>
      <c r="H150" s="5"/>
      <c r="I150" s="4">
        <v>0</v>
      </c>
      <c r="J150" s="5"/>
      <c r="K150" s="4">
        <v>0</v>
      </c>
      <c r="L150" s="5"/>
      <c r="M150" s="4">
        <v>0</v>
      </c>
      <c r="N150" s="5"/>
      <c r="O150" s="4">
        <v>0.51447916666666671</v>
      </c>
      <c r="P150" s="5">
        <v>148</v>
      </c>
      <c r="Q150" s="4">
        <v>5.6145833333333332E-2</v>
      </c>
      <c r="R150" s="5">
        <v>49</v>
      </c>
      <c r="S150" s="3">
        <v>49</v>
      </c>
      <c r="T150" s="3">
        <v>21</v>
      </c>
      <c r="U150" s="3">
        <v>35</v>
      </c>
      <c r="V150" s="3" t="s">
        <v>19</v>
      </c>
      <c r="W150" s="3">
        <v>40</v>
      </c>
      <c r="X150" s="54">
        <f>Table1[[#This Row],[Gender Place]]/$Z$3</f>
        <v>0.47058823529411764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3B5F-8ED6-42A1-B07E-7651E752D6A8}">
  <dimension ref="B2:X35"/>
  <sheetViews>
    <sheetView topLeftCell="B1" zoomScale="88" zoomScaleNormal="93" workbookViewId="0">
      <selection activeCell="J3" sqref="J3"/>
    </sheetView>
  </sheetViews>
  <sheetFormatPr defaultRowHeight="15" x14ac:dyDescent="0.2"/>
  <cols>
    <col min="2" max="2" width="6.1875" bestFit="1" customWidth="1"/>
    <col min="3" max="3" width="18.4296875" bestFit="1" customWidth="1"/>
    <col min="4" max="5" width="13.71875" customWidth="1"/>
    <col min="6" max="6" width="12.23828125" customWidth="1"/>
    <col min="7" max="7" width="8.203125" customWidth="1"/>
    <col min="8" max="8" width="12.9140625" customWidth="1"/>
    <col min="9" max="9" width="7.3984375" customWidth="1"/>
    <col min="10" max="10" width="9.953125" customWidth="1"/>
    <col min="11" max="11" width="7.3984375" customWidth="1"/>
    <col min="12" max="12" width="11.8359375" customWidth="1"/>
    <col min="13" max="13" width="7.3984375" bestFit="1" customWidth="1"/>
    <col min="14" max="14" width="9.953125" bestFit="1" customWidth="1"/>
    <col min="15" max="15" width="8.47265625" bestFit="1" customWidth="1"/>
    <col min="16" max="16" width="11.1640625" bestFit="1" customWidth="1"/>
    <col min="17" max="17" width="14.66015625" bestFit="1" customWidth="1"/>
    <col min="18" max="18" width="14.2578125" bestFit="1" customWidth="1"/>
    <col min="19" max="19" width="11.296875" bestFit="1" customWidth="1"/>
    <col min="20" max="20" width="6.45703125" bestFit="1" customWidth="1"/>
    <col min="21" max="21" width="11.703125" bestFit="1" customWidth="1"/>
    <col min="22" max="22" width="9.68359375" bestFit="1" customWidth="1"/>
    <col min="23" max="23" width="14.9296875" bestFit="1" customWidth="1"/>
  </cols>
  <sheetData>
    <row r="2" spans="2:24" x14ac:dyDescent="0.2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254</v>
      </c>
      <c r="I2" s="7" t="s">
        <v>6</v>
      </c>
      <c r="J2" s="8" t="s">
        <v>253</v>
      </c>
      <c r="K2" s="7" t="s">
        <v>7</v>
      </c>
      <c r="L2" s="8" t="s">
        <v>252</v>
      </c>
      <c r="M2" s="7" t="s">
        <v>8</v>
      </c>
      <c r="N2" s="8" t="s">
        <v>251</v>
      </c>
      <c r="O2" s="7" t="s">
        <v>9</v>
      </c>
      <c r="P2" s="8" t="s">
        <v>250</v>
      </c>
      <c r="Q2" s="7" t="s">
        <v>10</v>
      </c>
      <c r="R2" s="8" t="s">
        <v>249</v>
      </c>
      <c r="S2" s="7" t="s">
        <v>11</v>
      </c>
      <c r="T2" s="7" t="s">
        <v>12</v>
      </c>
      <c r="U2" s="7" t="s">
        <v>13</v>
      </c>
      <c r="V2" s="7" t="s">
        <v>14</v>
      </c>
      <c r="W2" s="9" t="s">
        <v>15</v>
      </c>
      <c r="X2" s="7" t="s">
        <v>483</v>
      </c>
    </row>
    <row r="3" spans="2:24" x14ac:dyDescent="0.2">
      <c r="B3">
        <v>283</v>
      </c>
      <c r="C3" t="s">
        <v>98</v>
      </c>
      <c r="D3" t="s">
        <v>31</v>
      </c>
      <c r="E3" t="s">
        <v>99</v>
      </c>
      <c r="F3" s="1">
        <v>0.45833333333333331</v>
      </c>
      <c r="G3" s="1">
        <v>1.3668981481481482E-2</v>
      </c>
      <c r="H3" s="2">
        <v>100</v>
      </c>
      <c r="I3" s="1">
        <v>1.3310185185185185E-3</v>
      </c>
      <c r="J3" s="2">
        <v>20</v>
      </c>
      <c r="K3" s="1">
        <v>2.5138888888888888E-2</v>
      </c>
      <c r="L3" s="2">
        <v>42</v>
      </c>
      <c r="M3" s="1">
        <v>1.0879629629629629E-3</v>
      </c>
      <c r="N3" s="2">
        <v>50</v>
      </c>
      <c r="O3" s="1">
        <v>1.375E-2</v>
      </c>
      <c r="P3" s="2">
        <v>36</v>
      </c>
      <c r="Q3" s="1">
        <v>5.5011574074074074E-2</v>
      </c>
      <c r="R3" s="2">
        <v>42</v>
      </c>
      <c r="S3">
        <v>42</v>
      </c>
      <c r="T3">
        <v>21</v>
      </c>
      <c r="U3">
        <v>30</v>
      </c>
      <c r="V3" t="s">
        <v>19</v>
      </c>
      <c r="W3">
        <v>33</v>
      </c>
      <c r="X3" s="55">
        <v>0.38823529411764707</v>
      </c>
    </row>
    <row r="4" spans="2:24" x14ac:dyDescent="0.2">
      <c r="B4">
        <v>272</v>
      </c>
      <c r="C4" t="s">
        <v>169</v>
      </c>
      <c r="D4" t="s">
        <v>31</v>
      </c>
      <c r="E4" t="s">
        <v>170</v>
      </c>
      <c r="F4" s="1">
        <v>0.46527777777777779</v>
      </c>
      <c r="G4" s="1">
        <v>1.2789351851851852E-2</v>
      </c>
      <c r="H4" s="2">
        <v>80</v>
      </c>
      <c r="I4" s="1">
        <v>1.5509259259259259E-3</v>
      </c>
      <c r="J4" s="2">
        <v>39</v>
      </c>
      <c r="K4" s="1">
        <v>2.9988425925925925E-2</v>
      </c>
      <c r="L4" s="2">
        <v>124</v>
      </c>
      <c r="M4" s="1">
        <v>1.1574074074074073E-3</v>
      </c>
      <c r="N4" s="2">
        <v>61</v>
      </c>
      <c r="O4" s="1">
        <v>1.6631944444444446E-2</v>
      </c>
      <c r="P4" s="2">
        <v>88</v>
      </c>
      <c r="Q4" s="1">
        <v>6.2141203703703705E-2</v>
      </c>
      <c r="R4" s="2">
        <v>92</v>
      </c>
      <c r="S4">
        <v>92</v>
      </c>
      <c r="T4">
        <v>22</v>
      </c>
      <c r="U4">
        <v>29</v>
      </c>
      <c r="V4" t="s">
        <v>36</v>
      </c>
      <c r="W4">
        <v>31</v>
      </c>
      <c r="X4" s="55">
        <v>0.49206349206349204</v>
      </c>
    </row>
    <row r="5" spans="2:24" x14ac:dyDescent="0.2">
      <c r="B5">
        <v>226</v>
      </c>
      <c r="C5" t="s">
        <v>138</v>
      </c>
      <c r="D5" t="s">
        <v>31</v>
      </c>
      <c r="E5" t="s">
        <v>66</v>
      </c>
      <c r="F5" s="1">
        <v>0.45833333333333331</v>
      </c>
      <c r="G5" s="1">
        <v>1.3449074074074073E-2</v>
      </c>
      <c r="H5" s="2">
        <v>97</v>
      </c>
      <c r="I5" s="1">
        <v>1.5509259259259259E-3</v>
      </c>
      <c r="J5" s="2">
        <v>40</v>
      </c>
      <c r="K5" s="1">
        <v>2.3807870370370372E-2</v>
      </c>
      <c r="L5" s="2">
        <v>24</v>
      </c>
      <c r="M5" s="1">
        <v>1.1342592592592593E-3</v>
      </c>
      <c r="N5" s="2">
        <v>58</v>
      </c>
      <c r="O5" s="1">
        <v>1.849537037037037E-2</v>
      </c>
      <c r="P5" s="2">
        <v>117</v>
      </c>
      <c r="Q5" s="1">
        <v>5.8472222222222224E-2</v>
      </c>
      <c r="R5" s="2">
        <v>70</v>
      </c>
      <c r="S5">
        <v>70</v>
      </c>
      <c r="T5">
        <v>19</v>
      </c>
      <c r="U5">
        <v>48</v>
      </c>
      <c r="V5" t="s">
        <v>19</v>
      </c>
      <c r="W5">
        <v>54</v>
      </c>
      <c r="X5" s="55">
        <v>0.63529411764705879</v>
      </c>
    </row>
    <row r="6" spans="2:24" x14ac:dyDescent="0.2">
      <c r="B6">
        <v>266</v>
      </c>
      <c r="C6" t="s">
        <v>92</v>
      </c>
      <c r="D6" t="s">
        <v>31</v>
      </c>
      <c r="E6" t="s">
        <v>93</v>
      </c>
      <c r="F6" s="1">
        <v>0.45833333333333331</v>
      </c>
      <c r="G6" s="1">
        <v>1.4074074074074074E-2</v>
      </c>
      <c r="H6" s="2">
        <v>104</v>
      </c>
      <c r="I6" s="1">
        <v>1.5856481481481481E-3</v>
      </c>
      <c r="J6" s="2">
        <v>44</v>
      </c>
      <c r="K6" s="1">
        <v>2.3229166666666665E-2</v>
      </c>
      <c r="L6" s="2">
        <v>17</v>
      </c>
      <c r="M6" s="1">
        <v>9.9537037037037042E-4</v>
      </c>
      <c r="N6" s="2">
        <v>33</v>
      </c>
      <c r="O6" s="1">
        <v>1.4201388888888888E-2</v>
      </c>
      <c r="P6" s="2">
        <v>39</v>
      </c>
      <c r="Q6" s="1">
        <v>5.4120370370370367E-2</v>
      </c>
      <c r="R6" s="2">
        <v>38</v>
      </c>
      <c r="S6">
        <v>38</v>
      </c>
      <c r="T6">
        <v>18</v>
      </c>
      <c r="U6">
        <v>26</v>
      </c>
      <c r="V6" t="s">
        <v>19</v>
      </c>
      <c r="W6">
        <v>29</v>
      </c>
      <c r="X6" s="55">
        <v>0.3411764705882353</v>
      </c>
    </row>
    <row r="7" spans="2:24" x14ac:dyDescent="0.2">
      <c r="B7">
        <v>267</v>
      </c>
      <c r="C7" t="s">
        <v>94</v>
      </c>
      <c r="D7" t="s">
        <v>31</v>
      </c>
      <c r="E7" t="s">
        <v>93</v>
      </c>
      <c r="F7" s="1">
        <v>0.45833333333333331</v>
      </c>
      <c r="G7" s="1">
        <v>1.1643518518518518E-2</v>
      </c>
      <c r="H7" s="2">
        <v>47</v>
      </c>
      <c r="I7" s="1">
        <v>1.6435185185185185E-3</v>
      </c>
      <c r="J7" s="2">
        <v>47</v>
      </c>
      <c r="K7" s="1">
        <v>2.480324074074074E-2</v>
      </c>
      <c r="L7" s="2">
        <v>37</v>
      </c>
      <c r="M7" s="1">
        <v>1.0416666666666667E-3</v>
      </c>
      <c r="N7" s="2">
        <v>41</v>
      </c>
      <c r="O7" s="1">
        <v>1.5046296296296295E-2</v>
      </c>
      <c r="P7" s="2">
        <v>57</v>
      </c>
      <c r="Q7" s="1">
        <v>5.4189814814814816E-2</v>
      </c>
      <c r="R7" s="2">
        <v>39</v>
      </c>
      <c r="S7">
        <v>39</v>
      </c>
      <c r="T7">
        <v>18</v>
      </c>
      <c r="U7">
        <v>27</v>
      </c>
      <c r="V7" t="s">
        <v>19</v>
      </c>
      <c r="W7">
        <v>30</v>
      </c>
      <c r="X7" s="55">
        <v>0.35294117647058826</v>
      </c>
    </row>
    <row r="8" spans="2:24" x14ac:dyDescent="0.2">
      <c r="B8">
        <v>302</v>
      </c>
      <c r="C8" t="s">
        <v>100</v>
      </c>
      <c r="D8" t="s">
        <v>31</v>
      </c>
      <c r="E8" t="s">
        <v>31</v>
      </c>
      <c r="F8" s="1">
        <v>0.45833333333333331</v>
      </c>
      <c r="G8" s="1">
        <v>1.5127314814814816E-2</v>
      </c>
      <c r="H8" s="2">
        <v>121</v>
      </c>
      <c r="I8" s="1">
        <v>1.7013888888888888E-3</v>
      </c>
      <c r="J8" s="2">
        <v>54</v>
      </c>
      <c r="K8" s="1">
        <v>2.4861111111111112E-2</v>
      </c>
      <c r="L8" s="2">
        <v>39</v>
      </c>
      <c r="M8" s="1">
        <v>8.564814814814815E-4</v>
      </c>
      <c r="N8" s="2">
        <v>10</v>
      </c>
      <c r="O8" s="1">
        <v>1.275462962962963E-2</v>
      </c>
      <c r="P8" s="2">
        <v>14</v>
      </c>
      <c r="Q8" s="1">
        <v>5.5324074074074074E-2</v>
      </c>
      <c r="R8" s="2">
        <v>43</v>
      </c>
      <c r="S8">
        <v>43</v>
      </c>
      <c r="T8">
        <v>21</v>
      </c>
      <c r="U8">
        <v>31</v>
      </c>
      <c r="V8" t="s">
        <v>19</v>
      </c>
      <c r="W8">
        <v>34</v>
      </c>
      <c r="X8" s="55">
        <v>0.4</v>
      </c>
    </row>
    <row r="9" spans="2:24" x14ac:dyDescent="0.2">
      <c r="B9">
        <v>281</v>
      </c>
      <c r="C9" t="s">
        <v>208</v>
      </c>
      <c r="D9" t="s">
        <v>31</v>
      </c>
      <c r="E9" t="s">
        <v>99</v>
      </c>
      <c r="F9" s="1">
        <v>0.46527777777777779</v>
      </c>
      <c r="G9" s="1">
        <v>1.5173611111111112E-2</v>
      </c>
      <c r="H9" s="2">
        <v>122</v>
      </c>
      <c r="I9" s="1">
        <v>1.7592592592592592E-3</v>
      </c>
      <c r="J9" s="2">
        <v>59</v>
      </c>
      <c r="K9" s="1">
        <v>3.2604166666666663E-2</v>
      </c>
      <c r="L9" s="2">
        <v>135</v>
      </c>
      <c r="M9" s="1">
        <v>8.6805555555555551E-4</v>
      </c>
      <c r="N9" s="2">
        <v>14</v>
      </c>
      <c r="O9" s="1">
        <v>1.7291666666666667E-2</v>
      </c>
      <c r="P9" s="2">
        <v>96</v>
      </c>
      <c r="Q9" s="1">
        <v>6.7719907407407409E-2</v>
      </c>
      <c r="R9" s="2">
        <v>120</v>
      </c>
      <c r="S9">
        <v>120</v>
      </c>
      <c r="T9">
        <v>18</v>
      </c>
      <c r="U9">
        <v>42</v>
      </c>
      <c r="V9" t="s">
        <v>36</v>
      </c>
      <c r="W9">
        <v>47</v>
      </c>
      <c r="X9" s="55">
        <v>0.74603174603174605</v>
      </c>
    </row>
    <row r="10" spans="2:24" x14ac:dyDescent="0.2">
      <c r="B10">
        <v>282</v>
      </c>
      <c r="C10" t="s">
        <v>168</v>
      </c>
      <c r="D10" t="s">
        <v>31</v>
      </c>
      <c r="E10" t="s">
        <v>99</v>
      </c>
      <c r="F10" s="1">
        <v>0.46527777777777779</v>
      </c>
      <c r="G10" s="1">
        <v>1.4594907407407407E-2</v>
      </c>
      <c r="H10" s="2">
        <v>113</v>
      </c>
      <c r="I10" s="1">
        <v>1.8749999999999999E-3</v>
      </c>
      <c r="J10" s="2">
        <v>71</v>
      </c>
      <c r="K10" s="1">
        <v>2.2916666666666665E-2</v>
      </c>
      <c r="L10" s="2">
        <v>13</v>
      </c>
      <c r="M10" s="1">
        <v>1.5625000000000001E-3</v>
      </c>
      <c r="N10" s="2">
        <v>112</v>
      </c>
      <c r="O10" s="1">
        <v>2.1041666666666667E-2</v>
      </c>
      <c r="P10" s="2">
        <v>137</v>
      </c>
      <c r="Q10" s="1">
        <v>6.2002314814814816E-2</v>
      </c>
      <c r="R10" s="2">
        <v>91</v>
      </c>
      <c r="S10">
        <v>91</v>
      </c>
      <c r="T10">
        <v>18</v>
      </c>
      <c r="U10">
        <v>28</v>
      </c>
      <c r="V10" t="s">
        <v>36</v>
      </c>
      <c r="W10">
        <v>30</v>
      </c>
      <c r="X10" s="55">
        <v>0.47619047619047616</v>
      </c>
    </row>
    <row r="11" spans="2:24" x14ac:dyDescent="0.2">
      <c r="B11">
        <v>284</v>
      </c>
      <c r="C11" t="s">
        <v>30</v>
      </c>
      <c r="D11" t="s">
        <v>31</v>
      </c>
      <c r="E11" t="s">
        <v>32</v>
      </c>
      <c r="F11" s="1">
        <v>0.45833333333333331</v>
      </c>
      <c r="G11" s="1">
        <v>1.0266203703703704E-2</v>
      </c>
      <c r="H11" s="2">
        <v>16</v>
      </c>
      <c r="I11" s="1">
        <v>2.8009259259259259E-3</v>
      </c>
      <c r="J11" s="2">
        <v>127</v>
      </c>
      <c r="K11" s="1">
        <v>2.1585648148148149E-2</v>
      </c>
      <c r="L11" s="2">
        <v>6</v>
      </c>
      <c r="M11" s="1">
        <v>6.8287037037037036E-4</v>
      </c>
      <c r="N11" s="2">
        <v>2</v>
      </c>
      <c r="O11" s="1">
        <v>1.2719907407407407E-2</v>
      </c>
      <c r="P11" s="2">
        <v>13</v>
      </c>
      <c r="Q11" s="1">
        <v>4.8078703703703707E-2</v>
      </c>
      <c r="R11" s="2">
        <v>6</v>
      </c>
      <c r="S11">
        <v>6</v>
      </c>
      <c r="T11">
        <v>22</v>
      </c>
      <c r="U11">
        <v>5</v>
      </c>
      <c r="V11" t="s">
        <v>19</v>
      </c>
      <c r="W11">
        <v>6</v>
      </c>
      <c r="X11" s="55">
        <v>7.0588235294117646E-2</v>
      </c>
    </row>
    <row r="12" spans="2:24" x14ac:dyDescent="0.2">
      <c r="B12">
        <v>248</v>
      </c>
      <c r="C12" t="s">
        <v>237</v>
      </c>
      <c r="D12" t="s">
        <v>31</v>
      </c>
      <c r="E12" t="s">
        <v>238</v>
      </c>
      <c r="F12" s="1">
        <v>0.45833333333333331</v>
      </c>
      <c r="G12" s="1">
        <v>2.9456018518518517E-2</v>
      </c>
      <c r="H12" s="2">
        <v>144</v>
      </c>
      <c r="I12" s="1">
        <v>4.8495370370370368E-3</v>
      </c>
      <c r="J12" s="2">
        <v>147</v>
      </c>
      <c r="K12" s="1">
        <v>3.3877314814814811E-2</v>
      </c>
      <c r="L12" s="2">
        <v>142</v>
      </c>
      <c r="M12" s="1">
        <v>1.2152777777777778E-3</v>
      </c>
      <c r="N12" s="2">
        <v>74</v>
      </c>
      <c r="O12" s="1">
        <v>1.5335648148148149E-2</v>
      </c>
      <c r="P12" s="2">
        <v>65</v>
      </c>
      <c r="Q12" s="1">
        <v>8.4768518518518521E-2</v>
      </c>
      <c r="R12" s="2">
        <v>143</v>
      </c>
      <c r="S12">
        <v>143</v>
      </c>
      <c r="T12">
        <v>18</v>
      </c>
      <c r="U12">
        <v>71</v>
      </c>
      <c r="V12" t="s">
        <v>19</v>
      </c>
      <c r="W12">
        <v>82</v>
      </c>
      <c r="X12" s="55">
        <v>0.96470588235294119</v>
      </c>
    </row>
    <row r="13" spans="2:24" x14ac:dyDescent="0.2">
      <c r="B13" s="62"/>
      <c r="C13" s="62"/>
      <c r="D13" s="62"/>
      <c r="E13" s="62"/>
      <c r="F13" s="63"/>
      <c r="G13" s="63"/>
      <c r="H13" s="64"/>
      <c r="I13" s="63"/>
      <c r="J13" s="64"/>
      <c r="K13" s="63"/>
      <c r="L13" s="64"/>
      <c r="M13" s="63"/>
      <c r="N13" s="64"/>
      <c r="O13" s="63"/>
      <c r="P13" s="64"/>
      <c r="Q13" s="63"/>
      <c r="R13" s="64"/>
      <c r="S13" s="62"/>
      <c r="T13" s="62"/>
      <c r="U13" s="62"/>
      <c r="V13" s="62"/>
      <c r="W13" s="62"/>
      <c r="X13" s="65"/>
    </row>
    <row r="14" spans="2:24" x14ac:dyDescent="0.2">
      <c r="B14">
        <v>280</v>
      </c>
      <c r="C14" t="s">
        <v>107</v>
      </c>
      <c r="D14" t="s">
        <v>31</v>
      </c>
      <c r="E14" t="s">
        <v>99</v>
      </c>
      <c r="F14" s="1">
        <v>0.45833333333333331</v>
      </c>
      <c r="G14" s="1">
        <v>0</v>
      </c>
      <c r="H14" s="2"/>
      <c r="I14" s="1">
        <v>0</v>
      </c>
      <c r="J14" s="2"/>
      <c r="K14" s="1">
        <v>0</v>
      </c>
      <c r="L14" s="2"/>
      <c r="M14" s="1">
        <v>0</v>
      </c>
      <c r="N14" s="2"/>
      <c r="O14" s="1">
        <v>0.51447916666666671</v>
      </c>
      <c r="P14" s="2">
        <v>148</v>
      </c>
      <c r="Q14" s="1">
        <v>5.6145833333333332E-2</v>
      </c>
      <c r="R14" s="2">
        <v>49</v>
      </c>
      <c r="S14">
        <v>49</v>
      </c>
      <c r="T14">
        <v>21</v>
      </c>
      <c r="U14">
        <v>35</v>
      </c>
      <c r="V14" t="s">
        <v>19</v>
      </c>
      <c r="W14">
        <v>40</v>
      </c>
      <c r="X14" s="55">
        <v>0.47058823529411764</v>
      </c>
    </row>
    <row r="25" spans="11:11" x14ac:dyDescent="0.2">
      <c r="K25" s="56"/>
    </row>
    <row r="26" spans="11:11" x14ac:dyDescent="0.2">
      <c r="K26" s="56"/>
    </row>
    <row r="27" spans="11:11" x14ac:dyDescent="0.2">
      <c r="K27" s="56"/>
    </row>
    <row r="28" spans="11:11" x14ac:dyDescent="0.2">
      <c r="K28" s="56"/>
    </row>
    <row r="29" spans="11:11" x14ac:dyDescent="0.2">
      <c r="K29" s="56"/>
    </row>
    <row r="30" spans="11:11" x14ac:dyDescent="0.2">
      <c r="K30" s="56"/>
    </row>
    <row r="31" spans="11:11" x14ac:dyDescent="0.2">
      <c r="K31" s="56"/>
    </row>
    <row r="32" spans="11:11" x14ac:dyDescent="0.2">
      <c r="K32" s="56"/>
    </row>
    <row r="33" spans="11:11" x14ac:dyDescent="0.2">
      <c r="K33" s="56"/>
    </row>
    <row r="34" spans="11:11" x14ac:dyDescent="0.2">
      <c r="K34" s="56"/>
    </row>
    <row r="35" spans="11:11" x14ac:dyDescent="0.2">
      <c r="K35" s="56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0CF4-1D78-497D-9097-F2A936DADDC4}">
  <dimension ref="B2:V202"/>
  <sheetViews>
    <sheetView topLeftCell="B1" zoomScale="94" workbookViewId="0">
      <selection activeCell="D33" sqref="D33"/>
    </sheetView>
  </sheetViews>
  <sheetFormatPr defaultRowHeight="15" x14ac:dyDescent="0.2"/>
  <cols>
    <col min="2" max="2" width="20.984375" customWidth="1"/>
    <col min="3" max="3" width="22.59765625" customWidth="1"/>
    <col min="4" max="4" width="20.984375" customWidth="1"/>
    <col min="5" max="5" width="10.35546875" bestFit="1" customWidth="1"/>
    <col min="6" max="6" width="6.9921875" bestFit="1" customWidth="1"/>
    <col min="7" max="7" width="10.89453125" style="2" customWidth="1"/>
    <col min="8" max="8" width="5.91796875" bestFit="1" customWidth="1"/>
    <col min="9" max="9" width="5.51171875" style="2" customWidth="1"/>
    <col min="10" max="10" width="6.05078125" bestFit="1" customWidth="1"/>
    <col min="11" max="11" width="6.05078125" style="2" customWidth="1"/>
    <col min="12" max="12" width="5.91796875" bestFit="1" customWidth="1"/>
    <col min="13" max="13" width="5.51171875" style="2" customWidth="1"/>
    <col min="14" max="14" width="5.78125" bestFit="1" customWidth="1"/>
    <col min="15" max="15" width="7.93359375" style="2" customWidth="1"/>
    <col min="16" max="16" width="12.23828125" bestFit="1" customWidth="1"/>
    <col min="17" max="17" width="12.23828125" style="2" customWidth="1"/>
    <col min="18" max="20" width="10.89453125" customWidth="1"/>
    <col min="21" max="21" width="6.859375" customWidth="1"/>
    <col min="22" max="22" width="8.47265625" customWidth="1"/>
  </cols>
  <sheetData>
    <row r="2" spans="2:22" ht="21.75" thickBot="1" x14ac:dyDescent="0.25">
      <c r="B2" s="11" t="s">
        <v>0</v>
      </c>
      <c r="C2" s="12" t="s">
        <v>1</v>
      </c>
      <c r="D2" s="12" t="s">
        <v>3</v>
      </c>
      <c r="E2" s="12" t="s">
        <v>4</v>
      </c>
      <c r="F2" s="12" t="s">
        <v>5</v>
      </c>
      <c r="G2" s="14" t="s">
        <v>254</v>
      </c>
      <c r="H2" s="12" t="s">
        <v>6</v>
      </c>
      <c r="I2" s="14" t="s">
        <v>253</v>
      </c>
      <c r="J2" s="12" t="s">
        <v>7</v>
      </c>
      <c r="K2" s="14" t="s">
        <v>477</v>
      </c>
      <c r="L2" s="12" t="s">
        <v>8</v>
      </c>
      <c r="M2" s="14" t="s">
        <v>478</v>
      </c>
      <c r="N2" s="12" t="s">
        <v>9</v>
      </c>
      <c r="O2" s="14" t="s">
        <v>479</v>
      </c>
      <c r="P2" s="12" t="s">
        <v>10</v>
      </c>
      <c r="Q2" s="14" t="s">
        <v>480</v>
      </c>
      <c r="R2" s="12" t="s">
        <v>11</v>
      </c>
      <c r="S2" s="12" t="s">
        <v>12</v>
      </c>
      <c r="T2" s="12" t="s">
        <v>13</v>
      </c>
      <c r="U2" s="12" t="s">
        <v>14</v>
      </c>
      <c r="V2" s="13" t="s">
        <v>15</v>
      </c>
    </row>
    <row r="3" spans="2:22" ht="15.75" thickBot="1" x14ac:dyDescent="0.25">
      <c r="B3" s="15">
        <v>114</v>
      </c>
      <c r="C3" s="16" t="s">
        <v>16</v>
      </c>
      <c r="D3" s="17" t="s">
        <v>18</v>
      </c>
      <c r="E3" s="18">
        <v>0.4513888888888889</v>
      </c>
      <c r="F3" s="18">
        <v>7.3495370370370372E-3</v>
      </c>
      <c r="G3" s="19">
        <v>3</v>
      </c>
      <c r="H3" s="18">
        <v>3.2407407407407406E-4</v>
      </c>
      <c r="I3" s="19">
        <v>1</v>
      </c>
      <c r="J3" s="18">
        <v>2.0405092592592593E-2</v>
      </c>
      <c r="K3" s="19">
        <v>2</v>
      </c>
      <c r="L3" s="18">
        <v>7.7546296296296293E-4</v>
      </c>
      <c r="M3" s="19">
        <v>3</v>
      </c>
      <c r="N3" s="18">
        <v>1.1516203703703704E-2</v>
      </c>
      <c r="O3" s="19">
        <v>3</v>
      </c>
      <c r="P3" s="18">
        <v>4.0381944444444443E-2</v>
      </c>
      <c r="Q3" s="19">
        <v>1</v>
      </c>
      <c r="R3" s="17">
        <v>1</v>
      </c>
      <c r="S3" s="17">
        <v>21</v>
      </c>
      <c r="T3" s="17">
        <v>1</v>
      </c>
      <c r="U3" s="17" t="s">
        <v>19</v>
      </c>
      <c r="V3" s="20">
        <v>1</v>
      </c>
    </row>
    <row r="4" spans="2:22" ht="15.75" thickBot="1" x14ac:dyDescent="0.25">
      <c r="B4" s="15">
        <v>240</v>
      </c>
      <c r="C4" s="16" t="s">
        <v>255</v>
      </c>
      <c r="D4" s="17" t="s">
        <v>77</v>
      </c>
      <c r="E4" s="18">
        <v>0.4513888888888889</v>
      </c>
      <c r="F4" s="18">
        <v>6.9444444444444441E-3</v>
      </c>
      <c r="G4" s="19">
        <v>1</v>
      </c>
      <c r="H4" s="18">
        <v>8.1018518518518516E-4</v>
      </c>
      <c r="I4" s="19">
        <v>36</v>
      </c>
      <c r="J4" s="18">
        <v>2.0335648148148148E-2</v>
      </c>
      <c r="K4" s="19">
        <v>1</v>
      </c>
      <c r="L4" s="18">
        <v>8.6805555555555551E-4</v>
      </c>
      <c r="M4" s="19">
        <v>9</v>
      </c>
      <c r="N4" s="18">
        <v>1.2511574074074074E-2</v>
      </c>
      <c r="O4" s="19">
        <v>16</v>
      </c>
      <c r="P4" s="18">
        <v>4.1469907407407407E-2</v>
      </c>
      <c r="Q4" s="19">
        <v>2</v>
      </c>
      <c r="R4" s="17">
        <v>2</v>
      </c>
      <c r="S4" s="17">
        <v>21</v>
      </c>
      <c r="T4" s="17">
        <v>2</v>
      </c>
      <c r="U4" s="17" t="s">
        <v>19</v>
      </c>
      <c r="V4" s="20">
        <v>2</v>
      </c>
    </row>
    <row r="5" spans="2:22" ht="15.75" thickBot="1" x14ac:dyDescent="0.25">
      <c r="B5" s="15">
        <v>178</v>
      </c>
      <c r="C5" s="16" t="s">
        <v>256</v>
      </c>
      <c r="D5" s="17" t="s">
        <v>257</v>
      </c>
      <c r="E5" s="18">
        <v>0.4513888888888889</v>
      </c>
      <c r="F5" s="18">
        <v>7.1759259259259259E-3</v>
      </c>
      <c r="G5" s="19">
        <v>2</v>
      </c>
      <c r="H5" s="18">
        <v>1.1805555555555556E-3</v>
      </c>
      <c r="I5" s="19">
        <v>75</v>
      </c>
      <c r="J5" s="18">
        <v>2.0717592592592593E-2</v>
      </c>
      <c r="K5" s="19">
        <v>6</v>
      </c>
      <c r="L5" s="18">
        <v>8.564814814814815E-4</v>
      </c>
      <c r="M5" s="19">
        <v>7</v>
      </c>
      <c r="N5" s="18">
        <v>1.1724537037037037E-2</v>
      </c>
      <c r="O5" s="19">
        <v>5</v>
      </c>
      <c r="P5" s="18">
        <v>4.1678240740740738E-2</v>
      </c>
      <c r="Q5" s="19">
        <v>3</v>
      </c>
      <c r="R5" s="17">
        <v>3</v>
      </c>
      <c r="S5" s="17">
        <v>21</v>
      </c>
      <c r="T5" s="17">
        <v>3</v>
      </c>
      <c r="U5" s="17" t="s">
        <v>19</v>
      </c>
      <c r="V5" s="20">
        <v>3</v>
      </c>
    </row>
    <row r="6" spans="2:22" ht="15.75" thickBot="1" x14ac:dyDescent="0.25">
      <c r="B6" s="15">
        <v>188</v>
      </c>
      <c r="C6" s="16" t="s">
        <v>258</v>
      </c>
      <c r="D6" s="17" t="s">
        <v>35</v>
      </c>
      <c r="E6" s="18">
        <v>0.4513888888888889</v>
      </c>
      <c r="F6" s="18">
        <v>7.3842592592592597E-3</v>
      </c>
      <c r="G6" s="19">
        <v>4</v>
      </c>
      <c r="H6" s="18">
        <v>7.5231481481481482E-4</v>
      </c>
      <c r="I6" s="19">
        <v>29</v>
      </c>
      <c r="J6" s="18">
        <v>2.1539351851851851E-2</v>
      </c>
      <c r="K6" s="19">
        <v>11</v>
      </c>
      <c r="L6" s="18">
        <v>8.564814814814815E-4</v>
      </c>
      <c r="M6" s="19">
        <v>8</v>
      </c>
      <c r="N6" s="18">
        <v>1.1435185185185185E-2</v>
      </c>
      <c r="O6" s="19">
        <v>1</v>
      </c>
      <c r="P6" s="18">
        <v>4.1990740740740738E-2</v>
      </c>
      <c r="Q6" s="19">
        <v>4</v>
      </c>
      <c r="R6" s="17">
        <v>4</v>
      </c>
      <c r="S6" s="17">
        <v>23</v>
      </c>
      <c r="T6" s="17">
        <v>4</v>
      </c>
      <c r="U6" s="17" t="s">
        <v>19</v>
      </c>
      <c r="V6" s="20">
        <v>4</v>
      </c>
    </row>
    <row r="7" spans="2:22" ht="15.75" thickBot="1" x14ac:dyDescent="0.25">
      <c r="B7" s="15">
        <v>230</v>
      </c>
      <c r="C7" s="16" t="s">
        <v>259</v>
      </c>
      <c r="D7" s="17" t="s">
        <v>54</v>
      </c>
      <c r="E7" s="18">
        <v>0.4513888888888889</v>
      </c>
      <c r="F7" s="18">
        <v>7.6504629629629631E-3</v>
      </c>
      <c r="G7" s="19">
        <v>6</v>
      </c>
      <c r="H7" s="18">
        <v>1.0995370370370371E-3</v>
      </c>
      <c r="I7" s="19">
        <v>59</v>
      </c>
      <c r="J7" s="18">
        <v>2.0682870370370369E-2</v>
      </c>
      <c r="K7" s="19">
        <v>4</v>
      </c>
      <c r="L7" s="18">
        <v>8.9120370370370373E-4</v>
      </c>
      <c r="M7" s="19">
        <v>14</v>
      </c>
      <c r="N7" s="18">
        <v>1.2083333333333333E-2</v>
      </c>
      <c r="O7" s="19">
        <v>9</v>
      </c>
      <c r="P7" s="18">
        <v>4.2418981481481481E-2</v>
      </c>
      <c r="Q7" s="19">
        <v>5</v>
      </c>
      <c r="R7" s="17">
        <v>5</v>
      </c>
      <c r="S7" s="17">
        <v>22</v>
      </c>
      <c r="T7" s="17">
        <v>5</v>
      </c>
      <c r="U7" s="17" t="s">
        <v>19</v>
      </c>
      <c r="V7" s="20">
        <v>5</v>
      </c>
    </row>
    <row r="8" spans="2:22" ht="15.75" thickBot="1" x14ac:dyDescent="0.25">
      <c r="B8" s="15">
        <v>287</v>
      </c>
      <c r="C8" s="16" t="s">
        <v>260</v>
      </c>
      <c r="D8" s="17" t="s">
        <v>77</v>
      </c>
      <c r="E8" s="18">
        <v>0.4513888888888889</v>
      </c>
      <c r="F8" s="18">
        <v>8.7615740740740744E-3</v>
      </c>
      <c r="G8" s="19">
        <v>18</v>
      </c>
      <c r="H8" s="18">
        <v>6.9444444444444447E-4</v>
      </c>
      <c r="I8" s="19">
        <v>11</v>
      </c>
      <c r="J8" s="18">
        <v>2.0833333333333332E-2</v>
      </c>
      <c r="K8" s="19">
        <v>7</v>
      </c>
      <c r="L8" s="18">
        <v>9.837962962962962E-4</v>
      </c>
      <c r="M8" s="19">
        <v>29</v>
      </c>
      <c r="N8" s="18">
        <v>1.1539351851851851E-2</v>
      </c>
      <c r="O8" s="19">
        <v>4</v>
      </c>
      <c r="P8" s="18">
        <v>4.2847222222222224E-2</v>
      </c>
      <c r="Q8" s="19">
        <v>6</v>
      </c>
      <c r="R8" s="17">
        <v>6</v>
      </c>
      <c r="S8" s="17">
        <v>22</v>
      </c>
      <c r="T8" s="17">
        <v>6</v>
      </c>
      <c r="U8" s="17" t="s">
        <v>19</v>
      </c>
      <c r="V8" s="20">
        <v>6</v>
      </c>
    </row>
    <row r="9" spans="2:22" ht="15.75" thickBot="1" x14ac:dyDescent="0.25">
      <c r="B9" s="15">
        <v>148</v>
      </c>
      <c r="C9" s="16" t="s">
        <v>261</v>
      </c>
      <c r="D9" s="17" t="s">
        <v>77</v>
      </c>
      <c r="E9" s="18">
        <v>0.4513888888888889</v>
      </c>
      <c r="F9" s="18">
        <v>7.8935185185185185E-3</v>
      </c>
      <c r="G9" s="19">
        <v>7</v>
      </c>
      <c r="H9" s="18">
        <v>7.407407407407407E-4</v>
      </c>
      <c r="I9" s="19">
        <v>28</v>
      </c>
      <c r="J9" s="18">
        <v>2.1250000000000002E-2</v>
      </c>
      <c r="K9" s="19">
        <v>8</v>
      </c>
      <c r="L9" s="18">
        <v>9.0277777777777774E-4</v>
      </c>
      <c r="M9" s="19">
        <v>16</v>
      </c>
      <c r="N9" s="18">
        <v>1.2395833333333333E-2</v>
      </c>
      <c r="O9" s="19">
        <v>14</v>
      </c>
      <c r="P9" s="18">
        <v>4.3194444444444445E-2</v>
      </c>
      <c r="Q9" s="19">
        <v>7</v>
      </c>
      <c r="R9" s="17">
        <v>7</v>
      </c>
      <c r="S9" s="17">
        <v>22</v>
      </c>
      <c r="T9" s="17">
        <v>7</v>
      </c>
      <c r="U9" s="17" t="s">
        <v>19</v>
      </c>
      <c r="V9" s="20">
        <v>7</v>
      </c>
    </row>
    <row r="10" spans="2:22" ht="15.75" thickBot="1" x14ac:dyDescent="0.25">
      <c r="B10" s="15">
        <v>72</v>
      </c>
      <c r="C10" s="16" t="s">
        <v>262</v>
      </c>
      <c r="D10" s="17" t="s">
        <v>77</v>
      </c>
      <c r="E10" s="18">
        <v>0.4513888888888889</v>
      </c>
      <c r="F10" s="18">
        <v>8.2291666666666659E-3</v>
      </c>
      <c r="G10" s="19">
        <v>11</v>
      </c>
      <c r="H10" s="18">
        <v>7.5231481481481482E-4</v>
      </c>
      <c r="I10" s="19">
        <v>30</v>
      </c>
      <c r="J10" s="18">
        <v>2.150462962962963E-2</v>
      </c>
      <c r="K10" s="19">
        <v>10</v>
      </c>
      <c r="L10" s="18">
        <v>1.0185185185185184E-3</v>
      </c>
      <c r="M10" s="19">
        <v>36</v>
      </c>
      <c r="N10" s="18">
        <v>1.2500000000000001E-2</v>
      </c>
      <c r="O10" s="19">
        <v>15</v>
      </c>
      <c r="P10" s="18">
        <v>4.4027777777777777E-2</v>
      </c>
      <c r="Q10" s="19">
        <v>8</v>
      </c>
      <c r="R10" s="17">
        <v>8</v>
      </c>
      <c r="S10" s="17">
        <v>22</v>
      </c>
      <c r="T10" s="17">
        <v>8</v>
      </c>
      <c r="U10" s="17" t="s">
        <v>19</v>
      </c>
      <c r="V10" s="20">
        <v>8</v>
      </c>
    </row>
    <row r="11" spans="2:22" ht="15.75" thickBot="1" x14ac:dyDescent="0.25">
      <c r="B11" s="15">
        <v>195</v>
      </c>
      <c r="C11" s="16" t="s">
        <v>263</v>
      </c>
      <c r="D11" s="17" t="s">
        <v>77</v>
      </c>
      <c r="E11" s="18">
        <v>0.4513888888888889</v>
      </c>
      <c r="F11" s="18">
        <v>8.8541666666666664E-3</v>
      </c>
      <c r="G11" s="19">
        <v>24</v>
      </c>
      <c r="H11" s="18">
        <v>5.7870370370370367E-4</v>
      </c>
      <c r="I11" s="19">
        <v>2</v>
      </c>
      <c r="J11" s="18">
        <v>2.1828703703703704E-2</v>
      </c>
      <c r="K11" s="19">
        <v>13</v>
      </c>
      <c r="L11" s="18">
        <v>8.6805555555555551E-4</v>
      </c>
      <c r="M11" s="19">
        <v>10</v>
      </c>
      <c r="N11" s="18">
        <v>1.1990740740740741E-2</v>
      </c>
      <c r="O11" s="19">
        <v>8</v>
      </c>
      <c r="P11" s="18">
        <v>4.4131944444444446E-2</v>
      </c>
      <c r="Q11" s="19">
        <v>9</v>
      </c>
      <c r="R11" s="17">
        <v>9</v>
      </c>
      <c r="S11" s="17">
        <v>22</v>
      </c>
      <c r="T11" s="17">
        <v>9</v>
      </c>
      <c r="U11" s="17" t="s">
        <v>19</v>
      </c>
      <c r="V11" s="20">
        <v>9</v>
      </c>
    </row>
    <row r="12" spans="2:22" ht="15.75" thickBot="1" x14ac:dyDescent="0.25">
      <c r="B12" s="15">
        <v>257</v>
      </c>
      <c r="C12" s="16" t="s">
        <v>264</v>
      </c>
      <c r="D12" s="17" t="s">
        <v>185</v>
      </c>
      <c r="E12" s="18">
        <v>0.4513888888888889</v>
      </c>
      <c r="F12" s="18">
        <v>7.4768518518518517E-3</v>
      </c>
      <c r="G12" s="19">
        <v>5</v>
      </c>
      <c r="H12" s="18">
        <v>6.9444444444444447E-4</v>
      </c>
      <c r="I12" s="19">
        <v>8</v>
      </c>
      <c r="J12" s="18">
        <v>2.2037037037037036E-2</v>
      </c>
      <c r="K12" s="19">
        <v>14</v>
      </c>
      <c r="L12" s="18">
        <v>9.3749999999999997E-4</v>
      </c>
      <c r="M12" s="19">
        <v>21</v>
      </c>
      <c r="N12" s="18">
        <v>1.3032407407407407E-2</v>
      </c>
      <c r="O12" s="19">
        <v>24</v>
      </c>
      <c r="P12" s="18">
        <v>4.4201388888888887E-2</v>
      </c>
      <c r="Q12" s="19">
        <v>10</v>
      </c>
      <c r="R12" s="17">
        <v>10</v>
      </c>
      <c r="S12" s="17">
        <v>19</v>
      </c>
      <c r="T12" s="17">
        <v>1</v>
      </c>
      <c r="U12" s="17" t="s">
        <v>19</v>
      </c>
      <c r="V12" s="20">
        <v>10</v>
      </c>
    </row>
    <row r="13" spans="2:22" ht="15.75" thickBot="1" x14ac:dyDescent="0.25">
      <c r="B13" s="15">
        <v>288</v>
      </c>
      <c r="C13" s="16" t="s">
        <v>265</v>
      </c>
      <c r="D13" s="17" t="s">
        <v>73</v>
      </c>
      <c r="E13" s="18">
        <v>0.4513888888888889</v>
      </c>
      <c r="F13" s="18">
        <v>8.8078703703703704E-3</v>
      </c>
      <c r="G13" s="19">
        <v>22</v>
      </c>
      <c r="H13" s="18">
        <v>6.9444444444444447E-4</v>
      </c>
      <c r="I13" s="19">
        <v>13</v>
      </c>
      <c r="J13" s="18">
        <v>2.0706018518518519E-2</v>
      </c>
      <c r="K13" s="19">
        <v>5</v>
      </c>
      <c r="L13" s="18">
        <v>9.6064814814814819E-4</v>
      </c>
      <c r="M13" s="19">
        <v>23</v>
      </c>
      <c r="N13" s="18">
        <v>1.324074074074074E-2</v>
      </c>
      <c r="O13" s="19">
        <v>27</v>
      </c>
      <c r="P13" s="18">
        <v>4.4432870370370373E-2</v>
      </c>
      <c r="Q13" s="19">
        <v>11</v>
      </c>
      <c r="R13" s="17">
        <v>11</v>
      </c>
      <c r="S13" s="17">
        <v>19</v>
      </c>
      <c r="T13" s="17">
        <v>2</v>
      </c>
      <c r="U13" s="17" t="s">
        <v>19</v>
      </c>
      <c r="V13" s="20">
        <v>11</v>
      </c>
    </row>
    <row r="14" spans="2:22" ht="15.75" thickBot="1" x14ac:dyDescent="0.25">
      <c r="B14" s="15">
        <v>159</v>
      </c>
      <c r="C14" s="16" t="s">
        <v>266</v>
      </c>
      <c r="D14" s="17" t="s">
        <v>35</v>
      </c>
      <c r="E14" s="18">
        <v>0.4513888888888889</v>
      </c>
      <c r="F14" s="18">
        <v>8.0787037037037043E-3</v>
      </c>
      <c r="G14" s="19">
        <v>9</v>
      </c>
      <c r="H14" s="18">
        <v>8.6805555555555551E-4</v>
      </c>
      <c r="I14" s="19">
        <v>41</v>
      </c>
      <c r="J14" s="18">
        <v>2.2453703703703705E-2</v>
      </c>
      <c r="K14" s="19">
        <v>22</v>
      </c>
      <c r="L14" s="18">
        <v>9.1435185185185185E-4</v>
      </c>
      <c r="M14" s="19">
        <v>19</v>
      </c>
      <c r="N14" s="18">
        <v>1.2592592592592593E-2</v>
      </c>
      <c r="O14" s="19">
        <v>17</v>
      </c>
      <c r="P14" s="18">
        <v>4.4930555555555557E-2</v>
      </c>
      <c r="Q14" s="19">
        <v>12</v>
      </c>
      <c r="R14" s="17">
        <v>12</v>
      </c>
      <c r="S14" s="17">
        <v>20</v>
      </c>
      <c r="T14" s="17">
        <v>10</v>
      </c>
      <c r="U14" s="17" t="s">
        <v>19</v>
      </c>
      <c r="V14" s="20">
        <v>12</v>
      </c>
    </row>
    <row r="15" spans="2:22" ht="15.75" thickBot="1" x14ac:dyDescent="0.25">
      <c r="B15" s="15">
        <v>142</v>
      </c>
      <c r="C15" s="16" t="s">
        <v>267</v>
      </c>
      <c r="D15" s="17" t="s">
        <v>54</v>
      </c>
      <c r="E15" s="18">
        <v>0.4513888888888889</v>
      </c>
      <c r="F15" s="18">
        <v>8.9699074074074073E-3</v>
      </c>
      <c r="G15" s="19">
        <v>25</v>
      </c>
      <c r="H15" s="18">
        <v>6.8287037037037036E-4</v>
      </c>
      <c r="I15" s="19">
        <v>7</v>
      </c>
      <c r="J15" s="18">
        <v>2.207175925925926E-2</v>
      </c>
      <c r="K15" s="19">
        <v>15</v>
      </c>
      <c r="L15" s="18">
        <v>9.6064814814814819E-4</v>
      </c>
      <c r="M15" s="19">
        <v>24</v>
      </c>
      <c r="N15" s="18">
        <v>1.2314814814814815E-2</v>
      </c>
      <c r="O15" s="19">
        <v>12</v>
      </c>
      <c r="P15" s="18">
        <v>4.5023148148148145E-2</v>
      </c>
      <c r="Q15" s="19">
        <v>13</v>
      </c>
      <c r="R15" s="17">
        <v>13</v>
      </c>
      <c r="S15" s="17">
        <v>22</v>
      </c>
      <c r="T15" s="17">
        <v>11</v>
      </c>
      <c r="U15" s="17" t="s">
        <v>19</v>
      </c>
      <c r="V15" s="20">
        <v>13</v>
      </c>
    </row>
    <row r="16" spans="2:22" ht="15.75" thickBot="1" x14ac:dyDescent="0.25">
      <c r="B16" s="15">
        <v>176</v>
      </c>
      <c r="C16" s="16" t="s">
        <v>268</v>
      </c>
      <c r="D16" s="17" t="s">
        <v>269</v>
      </c>
      <c r="E16" s="18">
        <v>0.4513888888888889</v>
      </c>
      <c r="F16" s="18">
        <v>9.0046296296296298E-3</v>
      </c>
      <c r="G16" s="19">
        <v>28</v>
      </c>
      <c r="H16" s="18">
        <v>6.5972222222222224E-4</v>
      </c>
      <c r="I16" s="19">
        <v>5</v>
      </c>
      <c r="J16" s="18">
        <v>2.2314814814814815E-2</v>
      </c>
      <c r="K16" s="19">
        <v>18</v>
      </c>
      <c r="L16" s="18">
        <v>1.0648148148148149E-3</v>
      </c>
      <c r="M16" s="19">
        <v>42</v>
      </c>
      <c r="N16" s="18">
        <v>1.2199074074074074E-2</v>
      </c>
      <c r="O16" s="19">
        <v>10</v>
      </c>
      <c r="P16" s="18">
        <v>4.5266203703703704E-2</v>
      </c>
      <c r="Q16" s="19">
        <v>14</v>
      </c>
      <c r="R16" s="17">
        <v>14</v>
      </c>
      <c r="S16" s="17">
        <v>21</v>
      </c>
      <c r="T16" s="17">
        <v>12</v>
      </c>
      <c r="U16" s="17" t="s">
        <v>19</v>
      </c>
      <c r="V16" s="20">
        <v>14</v>
      </c>
    </row>
    <row r="17" spans="2:22" ht="15.75" thickBot="1" x14ac:dyDescent="0.25">
      <c r="B17" s="15">
        <v>68</v>
      </c>
      <c r="C17" s="16" t="s">
        <v>270</v>
      </c>
      <c r="D17" s="17" t="s">
        <v>35</v>
      </c>
      <c r="E17" s="18">
        <v>0.4513888888888889</v>
      </c>
      <c r="F17" s="18">
        <v>9.2129629629629627E-3</v>
      </c>
      <c r="G17" s="19">
        <v>38</v>
      </c>
      <c r="H17" s="18">
        <v>6.5972222222222224E-4</v>
      </c>
      <c r="I17" s="19">
        <v>6</v>
      </c>
      <c r="J17" s="18">
        <v>2.1354166666666667E-2</v>
      </c>
      <c r="K17" s="19">
        <v>9</v>
      </c>
      <c r="L17" s="18">
        <v>1.0532407407407407E-3</v>
      </c>
      <c r="M17" s="19">
        <v>41</v>
      </c>
      <c r="N17" s="18">
        <v>1.3217592592592593E-2</v>
      </c>
      <c r="O17" s="19">
        <v>26</v>
      </c>
      <c r="P17" s="18">
        <v>4.5509259259259256E-2</v>
      </c>
      <c r="Q17" s="19">
        <v>15</v>
      </c>
      <c r="R17" s="17">
        <v>15</v>
      </c>
      <c r="S17" s="17">
        <v>20</v>
      </c>
      <c r="T17" s="17">
        <v>13</v>
      </c>
      <c r="U17" s="17" t="s">
        <v>19</v>
      </c>
      <c r="V17" s="20">
        <v>15</v>
      </c>
    </row>
    <row r="18" spans="2:22" ht="15.75" thickBot="1" x14ac:dyDescent="0.25">
      <c r="B18" s="15">
        <v>90</v>
      </c>
      <c r="C18" s="16" t="s">
        <v>271</v>
      </c>
      <c r="D18" s="17" t="s">
        <v>77</v>
      </c>
      <c r="E18" s="18">
        <v>0.4513888888888889</v>
      </c>
      <c r="F18" s="18">
        <v>9.7453703703703695E-3</v>
      </c>
      <c r="G18" s="19">
        <v>65</v>
      </c>
      <c r="H18" s="18">
        <v>1.1342592592592593E-3</v>
      </c>
      <c r="I18" s="19">
        <v>69</v>
      </c>
      <c r="J18" s="18">
        <v>2.255787037037037E-2</v>
      </c>
      <c r="K18" s="19">
        <v>25</v>
      </c>
      <c r="L18" s="18">
        <v>1.0995370370370371E-3</v>
      </c>
      <c r="M18" s="19">
        <v>46</v>
      </c>
      <c r="N18" s="18">
        <v>1.1435185185185185E-2</v>
      </c>
      <c r="O18" s="19">
        <v>2</v>
      </c>
      <c r="P18" s="18">
        <v>4.5983796296296293E-2</v>
      </c>
      <c r="Q18" s="19">
        <v>16</v>
      </c>
      <c r="R18" s="17">
        <v>16</v>
      </c>
      <c r="S18" s="17">
        <v>21</v>
      </c>
      <c r="T18" s="17">
        <v>14</v>
      </c>
      <c r="U18" s="17" t="s">
        <v>19</v>
      </c>
      <c r="V18" s="20">
        <v>16</v>
      </c>
    </row>
    <row r="19" spans="2:22" ht="15.75" thickBot="1" x14ac:dyDescent="0.25">
      <c r="B19" s="15">
        <v>303</v>
      </c>
      <c r="C19" s="16" t="s">
        <v>272</v>
      </c>
      <c r="D19" s="17" t="s">
        <v>273</v>
      </c>
      <c r="E19" s="18">
        <v>0.4513888888888889</v>
      </c>
      <c r="F19" s="18">
        <v>8.9699074074074073E-3</v>
      </c>
      <c r="G19" s="19">
        <v>26</v>
      </c>
      <c r="H19" s="18">
        <v>6.4814814814814813E-4</v>
      </c>
      <c r="I19" s="19">
        <v>3</v>
      </c>
      <c r="J19" s="18">
        <v>2.0648148148148148E-2</v>
      </c>
      <c r="K19" s="19">
        <v>3</v>
      </c>
      <c r="L19" s="18">
        <v>1.1574074074074073E-3</v>
      </c>
      <c r="M19" s="19">
        <v>63</v>
      </c>
      <c r="N19" s="18">
        <v>1.4768518518518519E-2</v>
      </c>
      <c r="O19" s="19">
        <v>69</v>
      </c>
      <c r="P19" s="18">
        <v>4.6203703703703705E-2</v>
      </c>
      <c r="Q19" s="19">
        <v>17</v>
      </c>
      <c r="R19" s="17">
        <v>17</v>
      </c>
      <c r="S19" s="17">
        <v>21</v>
      </c>
      <c r="T19" s="17">
        <v>15</v>
      </c>
      <c r="U19" s="17" t="s">
        <v>19</v>
      </c>
      <c r="V19" s="20">
        <v>17</v>
      </c>
    </row>
    <row r="20" spans="2:22" ht="15.75" thickBot="1" x14ac:dyDescent="0.25">
      <c r="B20" s="15">
        <v>291</v>
      </c>
      <c r="C20" s="16" t="s">
        <v>274</v>
      </c>
      <c r="D20" s="17" t="s">
        <v>54</v>
      </c>
      <c r="E20" s="18">
        <v>0.4513888888888889</v>
      </c>
      <c r="F20" s="18">
        <v>9.4675925925925934E-3</v>
      </c>
      <c r="G20" s="19">
        <v>51</v>
      </c>
      <c r="H20" s="18">
        <v>7.1759259259259259E-4</v>
      </c>
      <c r="I20" s="19">
        <v>26</v>
      </c>
      <c r="J20" s="18">
        <v>2.2094907407407407E-2</v>
      </c>
      <c r="K20" s="19">
        <v>16</v>
      </c>
      <c r="L20" s="18">
        <v>9.837962962962962E-4</v>
      </c>
      <c r="M20" s="19">
        <v>30</v>
      </c>
      <c r="N20" s="18">
        <v>1.3055555555555556E-2</v>
      </c>
      <c r="O20" s="19">
        <v>25</v>
      </c>
      <c r="P20" s="18">
        <v>4.6319444444444448E-2</v>
      </c>
      <c r="Q20" s="19">
        <v>18</v>
      </c>
      <c r="R20" s="17">
        <v>18</v>
      </c>
      <c r="S20" s="17">
        <v>22</v>
      </c>
      <c r="T20" s="17">
        <v>16</v>
      </c>
      <c r="U20" s="17" t="s">
        <v>19</v>
      </c>
      <c r="V20" s="20">
        <v>18</v>
      </c>
    </row>
    <row r="21" spans="2:22" ht="15.75" thickBot="1" x14ac:dyDescent="0.25">
      <c r="B21" s="15">
        <v>293</v>
      </c>
      <c r="C21" s="16" t="s">
        <v>243</v>
      </c>
      <c r="D21" s="17" t="s">
        <v>73</v>
      </c>
      <c r="E21" s="18">
        <v>0.4513888888888889</v>
      </c>
      <c r="F21" s="18">
        <v>8.2060185185185187E-3</v>
      </c>
      <c r="G21" s="19">
        <v>10</v>
      </c>
      <c r="H21" s="18">
        <v>6.9444444444444447E-4</v>
      </c>
      <c r="I21" s="19">
        <v>9</v>
      </c>
      <c r="J21" s="18">
        <v>2.3495370370370371E-2</v>
      </c>
      <c r="K21" s="19">
        <v>39</v>
      </c>
      <c r="L21" s="18">
        <v>8.7962962962962962E-4</v>
      </c>
      <c r="M21" s="19">
        <v>13</v>
      </c>
      <c r="N21" s="18">
        <v>1.3333333333333334E-2</v>
      </c>
      <c r="O21" s="19">
        <v>28</v>
      </c>
      <c r="P21" s="18">
        <v>4.6608796296296294E-2</v>
      </c>
      <c r="Q21" s="19">
        <v>19</v>
      </c>
      <c r="R21" s="17">
        <v>19</v>
      </c>
      <c r="S21" s="17">
        <v>20</v>
      </c>
      <c r="T21" s="17">
        <v>17</v>
      </c>
      <c r="U21" s="17" t="s">
        <v>19</v>
      </c>
      <c r="V21" s="20">
        <v>19</v>
      </c>
    </row>
    <row r="22" spans="2:22" ht="15.75" thickBot="1" x14ac:dyDescent="0.25">
      <c r="B22" s="15">
        <v>322</v>
      </c>
      <c r="C22" s="16" t="s">
        <v>26</v>
      </c>
      <c r="D22" s="17" t="s">
        <v>27</v>
      </c>
      <c r="E22" s="18">
        <v>0.4513888888888889</v>
      </c>
      <c r="F22" s="18">
        <v>9.5486111111111119E-3</v>
      </c>
      <c r="G22" s="19">
        <v>56</v>
      </c>
      <c r="H22" s="18">
        <v>7.8703703703703705E-4</v>
      </c>
      <c r="I22" s="19">
        <v>35</v>
      </c>
      <c r="J22" s="18">
        <v>2.2372685185185186E-2</v>
      </c>
      <c r="K22" s="19">
        <v>20</v>
      </c>
      <c r="L22" s="18">
        <v>1.1921296296296296E-3</v>
      </c>
      <c r="M22" s="19">
        <v>74</v>
      </c>
      <c r="N22" s="18">
        <v>1.361111111111111E-2</v>
      </c>
      <c r="O22" s="19">
        <v>33</v>
      </c>
      <c r="P22" s="18">
        <v>4.7523148148148148E-2</v>
      </c>
      <c r="Q22" s="19">
        <v>20</v>
      </c>
      <c r="R22" s="17">
        <v>20</v>
      </c>
      <c r="S22" s="17">
        <v>23</v>
      </c>
      <c r="T22" s="17">
        <v>18</v>
      </c>
      <c r="U22" s="17" t="s">
        <v>19</v>
      </c>
      <c r="V22" s="20">
        <v>20</v>
      </c>
    </row>
    <row r="23" spans="2:22" ht="15.75" thickBot="1" x14ac:dyDescent="0.25">
      <c r="B23" s="15">
        <v>100</v>
      </c>
      <c r="C23" s="16" t="s">
        <v>275</v>
      </c>
      <c r="D23" s="17"/>
      <c r="E23" s="18">
        <v>0.45833333333333331</v>
      </c>
      <c r="F23" s="18">
        <v>9.0509259259259258E-3</v>
      </c>
      <c r="G23" s="19">
        <v>29</v>
      </c>
      <c r="H23" s="18">
        <v>7.291666666666667E-4</v>
      </c>
      <c r="I23" s="19">
        <v>27</v>
      </c>
      <c r="J23" s="18">
        <v>2.2685185185185187E-2</v>
      </c>
      <c r="K23" s="19">
        <v>26</v>
      </c>
      <c r="L23" s="18">
        <v>1.0185185185185184E-3</v>
      </c>
      <c r="M23" s="19">
        <v>37</v>
      </c>
      <c r="N23" s="18">
        <v>1.4212962962962964E-2</v>
      </c>
      <c r="O23" s="19">
        <v>46</v>
      </c>
      <c r="P23" s="18">
        <v>4.7708333333333332E-2</v>
      </c>
      <c r="Q23" s="19">
        <v>21</v>
      </c>
      <c r="R23" s="17">
        <v>21</v>
      </c>
      <c r="S23" s="17">
        <v>21</v>
      </c>
      <c r="T23" s="17">
        <v>1</v>
      </c>
      <c r="U23" s="17" t="s">
        <v>36</v>
      </c>
      <c r="V23" s="20">
        <v>1</v>
      </c>
    </row>
    <row r="24" spans="2:22" ht="15.75" thickBot="1" x14ac:dyDescent="0.25">
      <c r="B24" s="15">
        <v>140</v>
      </c>
      <c r="C24" s="16" t="s">
        <v>276</v>
      </c>
      <c r="D24" s="17" t="s">
        <v>54</v>
      </c>
      <c r="E24" s="18">
        <v>0.4513888888888889</v>
      </c>
      <c r="F24" s="18">
        <v>9.9652777777777778E-3</v>
      </c>
      <c r="G24" s="19">
        <v>78</v>
      </c>
      <c r="H24" s="18">
        <v>9.4907407407407408E-4</v>
      </c>
      <c r="I24" s="19">
        <v>45</v>
      </c>
      <c r="J24" s="18">
        <v>2.3472222222222221E-2</v>
      </c>
      <c r="K24" s="19">
        <v>38</v>
      </c>
      <c r="L24" s="18">
        <v>1.6319444444444445E-3</v>
      </c>
      <c r="M24" s="19">
        <v>160</v>
      </c>
      <c r="N24" s="18">
        <v>1.1886574074074074E-2</v>
      </c>
      <c r="O24" s="19">
        <v>7</v>
      </c>
      <c r="P24" s="18">
        <v>4.7928240740740743E-2</v>
      </c>
      <c r="Q24" s="19">
        <v>22</v>
      </c>
      <c r="R24" s="17">
        <v>22</v>
      </c>
      <c r="S24" s="17">
        <v>20</v>
      </c>
      <c r="T24" s="17">
        <v>19</v>
      </c>
      <c r="U24" s="17" t="s">
        <v>19</v>
      </c>
      <c r="V24" s="20">
        <v>21</v>
      </c>
    </row>
    <row r="25" spans="2:22" ht="15.75" thickBot="1" x14ac:dyDescent="0.25">
      <c r="B25" s="15">
        <v>181</v>
      </c>
      <c r="C25" s="16" t="s">
        <v>277</v>
      </c>
      <c r="D25" s="17" t="s">
        <v>77</v>
      </c>
      <c r="E25" s="18">
        <v>0.4513888888888889</v>
      </c>
      <c r="F25" s="18">
        <v>8.5300925925925926E-3</v>
      </c>
      <c r="G25" s="19">
        <v>14</v>
      </c>
      <c r="H25" s="18">
        <v>6.9444444444444447E-4</v>
      </c>
      <c r="I25" s="19">
        <v>10</v>
      </c>
      <c r="J25" s="18">
        <v>2.3472222222222221E-2</v>
      </c>
      <c r="K25" s="19">
        <v>37</v>
      </c>
      <c r="L25" s="18">
        <v>1.2962962962962963E-3</v>
      </c>
      <c r="M25" s="19">
        <v>100</v>
      </c>
      <c r="N25" s="18">
        <v>1.4050925925925927E-2</v>
      </c>
      <c r="O25" s="19">
        <v>41</v>
      </c>
      <c r="P25" s="18">
        <v>4.8067129629629626E-2</v>
      </c>
      <c r="Q25" s="19">
        <v>23</v>
      </c>
      <c r="R25" s="17">
        <v>23</v>
      </c>
      <c r="S25" s="17">
        <v>23</v>
      </c>
      <c r="T25" s="17">
        <v>20</v>
      </c>
      <c r="U25" s="17" t="s">
        <v>19</v>
      </c>
      <c r="V25" s="20">
        <v>22</v>
      </c>
    </row>
    <row r="26" spans="2:22" ht="15.75" thickBot="1" x14ac:dyDescent="0.25">
      <c r="B26" s="15">
        <v>132</v>
      </c>
      <c r="C26" s="16" t="s">
        <v>30</v>
      </c>
      <c r="D26" s="17" t="s">
        <v>32</v>
      </c>
      <c r="E26" s="18">
        <v>0.4513888888888889</v>
      </c>
      <c r="F26" s="18">
        <v>9.8263888888888897E-3</v>
      </c>
      <c r="G26" s="19">
        <v>72</v>
      </c>
      <c r="H26" s="18">
        <v>6.9444444444444447E-4</v>
      </c>
      <c r="I26" s="19">
        <v>23</v>
      </c>
      <c r="J26" s="18">
        <v>2.3113425925925926E-2</v>
      </c>
      <c r="K26" s="19">
        <v>34</v>
      </c>
      <c r="L26" s="18">
        <v>1.1458333333333333E-3</v>
      </c>
      <c r="M26" s="19">
        <v>58</v>
      </c>
      <c r="N26" s="18">
        <v>1.3472222222222222E-2</v>
      </c>
      <c r="O26" s="19">
        <v>31</v>
      </c>
      <c r="P26" s="18">
        <v>4.8275462962962964E-2</v>
      </c>
      <c r="Q26" s="19">
        <v>24</v>
      </c>
      <c r="R26" s="17">
        <v>24</v>
      </c>
      <c r="S26" s="17">
        <v>20</v>
      </c>
      <c r="T26" s="17">
        <v>21</v>
      </c>
      <c r="U26" s="17" t="s">
        <v>19</v>
      </c>
      <c r="V26" s="20">
        <v>23</v>
      </c>
    </row>
    <row r="27" spans="2:22" ht="15.75" thickBot="1" x14ac:dyDescent="0.25">
      <c r="B27" s="15">
        <v>209</v>
      </c>
      <c r="C27" s="16" t="s">
        <v>278</v>
      </c>
      <c r="D27" s="17" t="s">
        <v>279</v>
      </c>
      <c r="E27" s="18">
        <v>0.4513888888888889</v>
      </c>
      <c r="F27" s="18">
        <v>1.1354166666666667E-2</v>
      </c>
      <c r="G27" s="19">
        <v>144</v>
      </c>
      <c r="H27" s="18">
        <v>1.1458333333333333E-3</v>
      </c>
      <c r="I27" s="19">
        <v>71</v>
      </c>
      <c r="J27" s="18">
        <v>2.210648148148148E-2</v>
      </c>
      <c r="K27" s="19">
        <v>17</v>
      </c>
      <c r="L27" s="18">
        <v>9.837962962962962E-4</v>
      </c>
      <c r="M27" s="19">
        <v>31</v>
      </c>
      <c r="N27" s="18">
        <v>1.2962962962962963E-2</v>
      </c>
      <c r="O27" s="19">
        <v>22</v>
      </c>
      <c r="P27" s="18">
        <v>4.8564814814814818E-2</v>
      </c>
      <c r="Q27" s="19">
        <v>25</v>
      </c>
      <c r="R27" s="17">
        <v>25</v>
      </c>
      <c r="S27" s="17">
        <v>21</v>
      </c>
      <c r="T27" s="17">
        <v>22</v>
      </c>
      <c r="U27" s="17" t="s">
        <v>19</v>
      </c>
      <c r="V27" s="20">
        <v>24</v>
      </c>
    </row>
    <row r="28" spans="2:22" ht="15.75" thickBot="1" x14ac:dyDescent="0.25">
      <c r="B28" s="15">
        <v>85</v>
      </c>
      <c r="C28" s="16" t="s">
        <v>280</v>
      </c>
      <c r="D28" s="17" t="s">
        <v>54</v>
      </c>
      <c r="E28" s="18">
        <v>0.4513888888888889</v>
      </c>
      <c r="F28" s="18">
        <v>8.8310185185185193E-3</v>
      </c>
      <c r="G28" s="19">
        <v>23</v>
      </c>
      <c r="H28" s="18">
        <v>6.9444444444444447E-4</v>
      </c>
      <c r="I28" s="19">
        <v>14</v>
      </c>
      <c r="J28" s="18">
        <v>2.2800925925925926E-2</v>
      </c>
      <c r="K28" s="19">
        <v>29</v>
      </c>
      <c r="L28" s="18">
        <v>1.0995370370370371E-3</v>
      </c>
      <c r="M28" s="19">
        <v>47</v>
      </c>
      <c r="N28" s="18">
        <v>1.5173611111111112E-2</v>
      </c>
      <c r="O28" s="19">
        <v>82</v>
      </c>
      <c r="P28" s="18">
        <v>4.8611111111111112E-2</v>
      </c>
      <c r="Q28" s="19">
        <v>26</v>
      </c>
      <c r="R28" s="17">
        <v>26</v>
      </c>
      <c r="S28" s="17">
        <v>22</v>
      </c>
      <c r="T28" s="17">
        <v>23</v>
      </c>
      <c r="U28" s="17" t="s">
        <v>19</v>
      </c>
      <c r="V28" s="20">
        <v>25</v>
      </c>
    </row>
    <row r="29" spans="2:22" ht="15.75" thickBot="1" x14ac:dyDescent="0.25">
      <c r="B29" s="15">
        <v>155</v>
      </c>
      <c r="C29" s="16" t="s">
        <v>281</v>
      </c>
      <c r="D29" s="17" t="s">
        <v>54</v>
      </c>
      <c r="E29" s="18">
        <v>0.4513888888888889</v>
      </c>
      <c r="F29" s="18">
        <v>1.1608796296296296E-2</v>
      </c>
      <c r="G29" s="19">
        <v>155</v>
      </c>
      <c r="H29" s="18">
        <v>1.3425925925925925E-3</v>
      </c>
      <c r="I29" s="19">
        <v>100</v>
      </c>
      <c r="J29" s="18">
        <v>2.3032407407407408E-2</v>
      </c>
      <c r="K29" s="19">
        <v>31</v>
      </c>
      <c r="L29" s="18">
        <v>8.6805555555555551E-4</v>
      </c>
      <c r="M29" s="19">
        <v>11</v>
      </c>
      <c r="N29" s="18">
        <v>1.1747685185185186E-2</v>
      </c>
      <c r="O29" s="19">
        <v>6</v>
      </c>
      <c r="P29" s="18">
        <v>4.8622685185185185E-2</v>
      </c>
      <c r="Q29" s="19">
        <v>27</v>
      </c>
      <c r="R29" s="17">
        <v>27</v>
      </c>
      <c r="S29" s="17">
        <v>20</v>
      </c>
      <c r="T29" s="17">
        <v>24</v>
      </c>
      <c r="U29" s="17" t="s">
        <v>19</v>
      </c>
      <c r="V29" s="20">
        <v>26</v>
      </c>
    </row>
    <row r="30" spans="2:22" ht="15.75" thickBot="1" x14ac:dyDescent="0.25">
      <c r="B30" s="15">
        <v>280</v>
      </c>
      <c r="C30" s="16" t="s">
        <v>248</v>
      </c>
      <c r="D30" s="17" t="s">
        <v>43</v>
      </c>
      <c r="E30" s="18">
        <v>0.4513888888888889</v>
      </c>
      <c r="F30" s="18">
        <v>1.0092592592592592E-2</v>
      </c>
      <c r="G30" s="19">
        <v>83</v>
      </c>
      <c r="H30" s="18">
        <v>6.9444444444444447E-4</v>
      </c>
      <c r="I30" s="19">
        <v>25</v>
      </c>
      <c r="J30" s="18">
        <v>2.4050925925925927E-2</v>
      </c>
      <c r="K30" s="19">
        <v>53</v>
      </c>
      <c r="L30" s="18">
        <v>1.1805555555555556E-3</v>
      </c>
      <c r="M30" s="19">
        <v>69</v>
      </c>
      <c r="N30" s="18">
        <v>1.2627314814814815E-2</v>
      </c>
      <c r="O30" s="19">
        <v>18</v>
      </c>
      <c r="P30" s="18">
        <v>4.8645833333333333E-2</v>
      </c>
      <c r="Q30" s="19">
        <v>28</v>
      </c>
      <c r="R30" s="17">
        <v>28</v>
      </c>
      <c r="S30" s="17">
        <v>20</v>
      </c>
      <c r="T30" s="17">
        <v>25</v>
      </c>
      <c r="U30" s="17" t="s">
        <v>19</v>
      </c>
      <c r="V30" s="20">
        <v>27</v>
      </c>
    </row>
    <row r="31" spans="2:22" ht="15.75" thickBot="1" x14ac:dyDescent="0.25">
      <c r="B31" s="15">
        <v>103</v>
      </c>
      <c r="C31" s="16" t="s">
        <v>282</v>
      </c>
      <c r="D31" s="17" t="s">
        <v>283</v>
      </c>
      <c r="E31" s="18">
        <v>0.45833333333333331</v>
      </c>
      <c r="F31" s="18">
        <v>1.0300925925925925E-2</v>
      </c>
      <c r="G31" s="19">
        <v>93</v>
      </c>
      <c r="H31" s="18">
        <v>8.2175925925925927E-4</v>
      </c>
      <c r="I31" s="19">
        <v>37</v>
      </c>
      <c r="J31" s="18">
        <v>2.1736111111111112E-2</v>
      </c>
      <c r="K31" s="19">
        <v>12</v>
      </c>
      <c r="L31" s="18">
        <v>1.1342592592592593E-3</v>
      </c>
      <c r="M31" s="19">
        <v>55</v>
      </c>
      <c r="N31" s="18">
        <v>1.4722222222222222E-2</v>
      </c>
      <c r="O31" s="19">
        <v>66</v>
      </c>
      <c r="P31" s="18">
        <v>4.8750000000000002E-2</v>
      </c>
      <c r="Q31" s="19">
        <v>29</v>
      </c>
      <c r="R31" s="17">
        <v>29</v>
      </c>
      <c r="S31" s="17">
        <v>23</v>
      </c>
      <c r="T31" s="17">
        <v>2</v>
      </c>
      <c r="U31" s="17" t="s">
        <v>36</v>
      </c>
      <c r="V31" s="20">
        <v>2</v>
      </c>
    </row>
    <row r="32" spans="2:22" ht="15.75" thickBot="1" x14ac:dyDescent="0.25">
      <c r="B32" s="15">
        <v>650</v>
      </c>
      <c r="C32" s="16" t="s">
        <v>284</v>
      </c>
      <c r="D32" s="17" t="s">
        <v>285</v>
      </c>
      <c r="E32" s="18">
        <v>0.4513888888888889</v>
      </c>
      <c r="F32" s="18">
        <v>9.8379629629629633E-3</v>
      </c>
      <c r="G32" s="19">
        <v>73</v>
      </c>
      <c r="H32" s="18">
        <v>6.4814814814814813E-4</v>
      </c>
      <c r="I32" s="19">
        <v>4</v>
      </c>
      <c r="J32" s="18">
        <v>2.4745370370370369E-2</v>
      </c>
      <c r="K32" s="19">
        <v>72</v>
      </c>
      <c r="L32" s="18">
        <v>1.2962962962962963E-3</v>
      </c>
      <c r="M32" s="19">
        <v>101</v>
      </c>
      <c r="N32" s="18">
        <v>1.2349537037037037E-2</v>
      </c>
      <c r="O32" s="19">
        <v>13</v>
      </c>
      <c r="P32" s="18">
        <v>4.8888888888888891E-2</v>
      </c>
      <c r="Q32" s="19">
        <v>30</v>
      </c>
      <c r="R32" s="17">
        <v>30</v>
      </c>
      <c r="S32" s="17">
        <v>22</v>
      </c>
      <c r="T32" s="17">
        <v>26</v>
      </c>
      <c r="U32" s="17" t="s">
        <v>19</v>
      </c>
      <c r="V32" s="20">
        <v>28</v>
      </c>
    </row>
    <row r="33" spans="2:22" ht="15.75" thickBot="1" x14ac:dyDescent="0.25">
      <c r="B33" s="15">
        <v>274</v>
      </c>
      <c r="C33" s="16" t="s">
        <v>286</v>
      </c>
      <c r="D33" s="17" t="s">
        <v>133</v>
      </c>
      <c r="E33" s="18">
        <v>0.45833333333333331</v>
      </c>
      <c r="F33" s="18">
        <v>9.1319444444444443E-3</v>
      </c>
      <c r="G33" s="19">
        <v>35</v>
      </c>
      <c r="H33" s="18">
        <v>1.0300925925925926E-3</v>
      </c>
      <c r="I33" s="19">
        <v>51</v>
      </c>
      <c r="J33" s="18">
        <v>2.3055555555555555E-2</v>
      </c>
      <c r="K33" s="19">
        <v>33</v>
      </c>
      <c r="L33" s="18">
        <v>1.2152777777777778E-3</v>
      </c>
      <c r="M33" s="19">
        <v>80</v>
      </c>
      <c r="N33" s="18">
        <v>1.4502314814814815E-2</v>
      </c>
      <c r="O33" s="19">
        <v>59</v>
      </c>
      <c r="P33" s="18">
        <v>4.8958333333333333E-2</v>
      </c>
      <c r="Q33" s="19">
        <v>31</v>
      </c>
      <c r="R33" s="17">
        <v>31</v>
      </c>
      <c r="S33" s="17">
        <v>22</v>
      </c>
      <c r="T33" s="17">
        <v>3</v>
      </c>
      <c r="U33" s="17" t="s">
        <v>36</v>
      </c>
      <c r="V33" s="20">
        <v>3</v>
      </c>
    </row>
    <row r="34" spans="2:22" ht="15.75" thickBot="1" x14ac:dyDescent="0.25">
      <c r="B34" s="15">
        <v>111</v>
      </c>
      <c r="C34" s="16" t="s">
        <v>287</v>
      </c>
      <c r="D34" s="17" t="s">
        <v>58</v>
      </c>
      <c r="E34" s="18">
        <v>0.4513888888888889</v>
      </c>
      <c r="F34" s="18">
        <v>8.7962962962962968E-3</v>
      </c>
      <c r="G34" s="19">
        <v>21</v>
      </c>
      <c r="H34" s="18">
        <v>6.9444444444444447E-4</v>
      </c>
      <c r="I34" s="19">
        <v>12</v>
      </c>
      <c r="J34" s="18">
        <v>2.2488425925925926E-2</v>
      </c>
      <c r="K34" s="19">
        <v>23</v>
      </c>
      <c r="L34" s="18">
        <v>1.4467592592592592E-3</v>
      </c>
      <c r="M34" s="19">
        <v>136</v>
      </c>
      <c r="N34" s="18">
        <v>1.5601851851851851E-2</v>
      </c>
      <c r="O34" s="19">
        <v>102</v>
      </c>
      <c r="P34" s="18">
        <v>4.9050925925925928E-2</v>
      </c>
      <c r="Q34" s="19">
        <v>32</v>
      </c>
      <c r="R34" s="17">
        <v>32</v>
      </c>
      <c r="S34" s="17">
        <v>19</v>
      </c>
      <c r="T34" s="17">
        <v>3</v>
      </c>
      <c r="U34" s="17" t="s">
        <v>19</v>
      </c>
      <c r="V34" s="20">
        <v>29</v>
      </c>
    </row>
    <row r="35" spans="2:22" ht="15.75" thickBot="1" x14ac:dyDescent="0.25">
      <c r="B35" s="15">
        <v>197</v>
      </c>
      <c r="C35" s="16" t="s">
        <v>288</v>
      </c>
      <c r="D35" s="17" t="s">
        <v>54</v>
      </c>
      <c r="E35" s="18">
        <v>0.45833333333333331</v>
      </c>
      <c r="F35" s="18">
        <v>9.0972222222222218E-3</v>
      </c>
      <c r="G35" s="19">
        <v>32</v>
      </c>
      <c r="H35" s="18">
        <v>1.0416666666666667E-3</v>
      </c>
      <c r="I35" s="19">
        <v>52</v>
      </c>
      <c r="J35" s="18">
        <v>2.3865740740740739E-2</v>
      </c>
      <c r="K35" s="19">
        <v>47</v>
      </c>
      <c r="L35" s="18">
        <v>1.1689814814814816E-3</v>
      </c>
      <c r="M35" s="19">
        <v>65</v>
      </c>
      <c r="N35" s="18">
        <v>1.3958333333333333E-2</v>
      </c>
      <c r="O35" s="19">
        <v>39</v>
      </c>
      <c r="P35" s="18">
        <v>4.9155092592592591E-2</v>
      </c>
      <c r="Q35" s="19">
        <v>33</v>
      </c>
      <c r="R35" s="17">
        <v>33</v>
      </c>
      <c r="S35" s="17">
        <v>18</v>
      </c>
      <c r="T35" s="17">
        <v>1</v>
      </c>
      <c r="U35" s="17" t="s">
        <v>36</v>
      </c>
      <c r="V35" s="20">
        <v>4</v>
      </c>
    </row>
    <row r="36" spans="2:22" ht="15.75" thickBot="1" x14ac:dyDescent="0.25">
      <c r="B36" s="15">
        <v>251</v>
      </c>
      <c r="C36" s="16" t="s">
        <v>289</v>
      </c>
      <c r="D36" s="17" t="s">
        <v>77</v>
      </c>
      <c r="E36" s="18">
        <v>0.4513888888888889</v>
      </c>
      <c r="F36" s="18">
        <v>9.5370370370370366E-3</v>
      </c>
      <c r="G36" s="19">
        <v>55</v>
      </c>
      <c r="H36" s="18">
        <v>6.9444444444444447E-4</v>
      </c>
      <c r="I36" s="19">
        <v>20</v>
      </c>
      <c r="J36" s="18">
        <v>2.3518518518518518E-2</v>
      </c>
      <c r="K36" s="19">
        <v>41</v>
      </c>
      <c r="L36" s="18">
        <v>1.5509259259259259E-3</v>
      </c>
      <c r="M36" s="19">
        <v>150</v>
      </c>
      <c r="N36" s="18">
        <v>1.3946759259259259E-2</v>
      </c>
      <c r="O36" s="19">
        <v>38</v>
      </c>
      <c r="P36" s="18">
        <v>4.925925925925926E-2</v>
      </c>
      <c r="Q36" s="19">
        <v>34</v>
      </c>
      <c r="R36" s="17">
        <v>34</v>
      </c>
      <c r="S36" s="17">
        <v>18</v>
      </c>
      <c r="T36" s="17">
        <v>4</v>
      </c>
      <c r="U36" s="17" t="s">
        <v>19</v>
      </c>
      <c r="V36" s="20">
        <v>30</v>
      </c>
    </row>
    <row r="37" spans="2:22" ht="15.75" thickBot="1" x14ac:dyDescent="0.25">
      <c r="B37" s="15">
        <v>286</v>
      </c>
      <c r="C37" s="16" t="s">
        <v>290</v>
      </c>
      <c r="D37" s="17" t="s">
        <v>291</v>
      </c>
      <c r="E37" s="18">
        <v>0.45833333333333331</v>
      </c>
      <c r="F37" s="18">
        <v>8.5300925925925926E-3</v>
      </c>
      <c r="G37" s="19">
        <v>15</v>
      </c>
      <c r="H37" s="18">
        <v>8.3333333333333339E-4</v>
      </c>
      <c r="I37" s="19">
        <v>38</v>
      </c>
      <c r="J37" s="18">
        <v>2.4756944444444446E-2</v>
      </c>
      <c r="K37" s="19">
        <v>73</v>
      </c>
      <c r="L37" s="18">
        <v>9.2592592592592596E-4</v>
      </c>
      <c r="M37" s="19">
        <v>20</v>
      </c>
      <c r="N37" s="18">
        <v>1.4201388888888888E-2</v>
      </c>
      <c r="O37" s="19">
        <v>45</v>
      </c>
      <c r="P37" s="18">
        <v>4.9270833333333333E-2</v>
      </c>
      <c r="Q37" s="19">
        <v>35</v>
      </c>
      <c r="R37" s="17">
        <v>35</v>
      </c>
      <c r="S37" s="17">
        <v>17</v>
      </c>
      <c r="T37" s="17">
        <v>2</v>
      </c>
      <c r="U37" s="17" t="s">
        <v>36</v>
      </c>
      <c r="V37" s="20">
        <v>5</v>
      </c>
    </row>
    <row r="38" spans="2:22" ht="15.75" thickBot="1" x14ac:dyDescent="0.25">
      <c r="B38" s="15">
        <v>265</v>
      </c>
      <c r="C38" s="16" t="s">
        <v>292</v>
      </c>
      <c r="D38" s="17" t="s">
        <v>170</v>
      </c>
      <c r="E38" s="18">
        <v>0.4513888888888889</v>
      </c>
      <c r="F38" s="18">
        <v>9.5833333333333326E-3</v>
      </c>
      <c r="G38" s="19">
        <v>60</v>
      </c>
      <c r="H38" s="18">
        <v>6.9444444444444447E-4</v>
      </c>
      <c r="I38" s="19">
        <v>21</v>
      </c>
      <c r="J38" s="18">
        <v>2.375E-2</v>
      </c>
      <c r="K38" s="19">
        <v>45</v>
      </c>
      <c r="L38" s="18">
        <v>1.3194444444444445E-3</v>
      </c>
      <c r="M38" s="19">
        <v>106</v>
      </c>
      <c r="N38" s="18">
        <v>1.4247685185185184E-2</v>
      </c>
      <c r="O38" s="19">
        <v>51</v>
      </c>
      <c r="P38" s="18">
        <v>4.9618055555555554E-2</v>
      </c>
      <c r="Q38" s="19">
        <v>36</v>
      </c>
      <c r="R38" s="17">
        <v>36</v>
      </c>
      <c r="S38" s="17">
        <v>21</v>
      </c>
      <c r="T38" s="17">
        <v>27</v>
      </c>
      <c r="U38" s="17" t="s">
        <v>19</v>
      </c>
      <c r="V38" s="20">
        <v>31</v>
      </c>
    </row>
    <row r="39" spans="2:22" ht="15.75" thickBot="1" x14ac:dyDescent="0.25">
      <c r="B39" s="15">
        <v>66</v>
      </c>
      <c r="C39" s="16" t="s">
        <v>71</v>
      </c>
      <c r="D39" s="17" t="s">
        <v>77</v>
      </c>
      <c r="E39" s="18">
        <v>0.45833333333333331</v>
      </c>
      <c r="F39" s="18">
        <v>9.8958333333333329E-3</v>
      </c>
      <c r="G39" s="19">
        <v>75</v>
      </c>
      <c r="H39" s="18">
        <v>9.7222222222222219E-4</v>
      </c>
      <c r="I39" s="19">
        <v>50</v>
      </c>
      <c r="J39" s="18">
        <v>2.326388888888889E-2</v>
      </c>
      <c r="K39" s="19">
        <v>35</v>
      </c>
      <c r="L39" s="18">
        <v>1.2731481481481483E-3</v>
      </c>
      <c r="M39" s="19">
        <v>95</v>
      </c>
      <c r="N39" s="18">
        <v>1.4212962962962964E-2</v>
      </c>
      <c r="O39" s="19">
        <v>47</v>
      </c>
      <c r="P39" s="18">
        <v>4.9641203703703701E-2</v>
      </c>
      <c r="Q39" s="19">
        <v>37</v>
      </c>
      <c r="R39" s="17">
        <v>37</v>
      </c>
      <c r="S39" s="17">
        <v>21</v>
      </c>
      <c r="T39" s="17">
        <v>4</v>
      </c>
      <c r="U39" s="17" t="s">
        <v>36</v>
      </c>
      <c r="V39" s="20">
        <v>6</v>
      </c>
    </row>
    <row r="40" spans="2:22" ht="15.75" thickBot="1" x14ac:dyDescent="0.25">
      <c r="B40" s="15">
        <v>235</v>
      </c>
      <c r="C40" s="16" t="s">
        <v>293</v>
      </c>
      <c r="D40" s="17" t="s">
        <v>294</v>
      </c>
      <c r="E40" s="18">
        <v>0.4513888888888889</v>
      </c>
      <c r="F40" s="18">
        <v>9.8032407407407408E-3</v>
      </c>
      <c r="G40" s="19">
        <v>69</v>
      </c>
      <c r="H40" s="18">
        <v>1.7939814814814815E-3</v>
      </c>
      <c r="I40" s="19">
        <v>157</v>
      </c>
      <c r="J40" s="18">
        <v>2.3506944444444445E-2</v>
      </c>
      <c r="K40" s="19">
        <v>40</v>
      </c>
      <c r="L40" s="18">
        <v>1.261574074074074E-3</v>
      </c>
      <c r="M40" s="19">
        <v>91</v>
      </c>
      <c r="N40" s="18">
        <v>1.3449074074074073E-2</v>
      </c>
      <c r="O40" s="19">
        <v>29</v>
      </c>
      <c r="P40" s="18">
        <v>4.9837962962962966E-2</v>
      </c>
      <c r="Q40" s="19">
        <v>38</v>
      </c>
      <c r="R40" s="17">
        <v>38</v>
      </c>
      <c r="S40" s="17">
        <v>19</v>
      </c>
      <c r="T40" s="17">
        <v>5</v>
      </c>
      <c r="U40" s="17" t="s">
        <v>19</v>
      </c>
      <c r="V40" s="20">
        <v>32</v>
      </c>
    </row>
    <row r="41" spans="2:22" ht="15.75" thickBot="1" x14ac:dyDescent="0.25">
      <c r="B41" s="15">
        <v>204</v>
      </c>
      <c r="C41" s="16" t="s">
        <v>295</v>
      </c>
      <c r="D41" s="17" t="s">
        <v>58</v>
      </c>
      <c r="E41" s="18">
        <v>0.45833333333333331</v>
      </c>
      <c r="F41" s="18">
        <v>9.3518518518518525E-3</v>
      </c>
      <c r="G41" s="19">
        <v>48</v>
      </c>
      <c r="H41" s="18">
        <v>8.3333333333333339E-4</v>
      </c>
      <c r="I41" s="19">
        <v>39</v>
      </c>
      <c r="J41" s="18">
        <v>2.3043981481481481E-2</v>
      </c>
      <c r="K41" s="19">
        <v>32</v>
      </c>
      <c r="L41" s="18">
        <v>1.2962962962962963E-3</v>
      </c>
      <c r="M41" s="19">
        <v>99</v>
      </c>
      <c r="N41" s="18">
        <v>1.5370370370370371E-2</v>
      </c>
      <c r="O41" s="19">
        <v>93</v>
      </c>
      <c r="P41" s="18">
        <v>4.9918981481481481E-2</v>
      </c>
      <c r="Q41" s="19">
        <v>39</v>
      </c>
      <c r="R41" s="17">
        <v>39</v>
      </c>
      <c r="S41" s="17">
        <v>25</v>
      </c>
      <c r="T41" s="17">
        <v>1</v>
      </c>
      <c r="U41" s="17" t="s">
        <v>36</v>
      </c>
      <c r="V41" s="20">
        <v>7</v>
      </c>
    </row>
    <row r="42" spans="2:22" ht="15.75" thickBot="1" x14ac:dyDescent="0.25">
      <c r="B42" s="15">
        <v>179</v>
      </c>
      <c r="C42" s="16" t="s">
        <v>296</v>
      </c>
      <c r="D42" s="17" t="s">
        <v>77</v>
      </c>
      <c r="E42" s="18">
        <v>0.45833333333333331</v>
      </c>
      <c r="F42" s="18">
        <v>8.6342592592592599E-3</v>
      </c>
      <c r="G42" s="19">
        <v>17</v>
      </c>
      <c r="H42" s="18">
        <v>7.5231481481481482E-4</v>
      </c>
      <c r="I42" s="19">
        <v>31</v>
      </c>
      <c r="J42" s="18">
        <v>2.4189814814814813E-2</v>
      </c>
      <c r="K42" s="19">
        <v>60</v>
      </c>
      <c r="L42" s="18">
        <v>1.2037037037037038E-3</v>
      </c>
      <c r="M42" s="19">
        <v>78</v>
      </c>
      <c r="N42" s="18">
        <v>1.5173611111111112E-2</v>
      </c>
      <c r="O42" s="19">
        <v>83</v>
      </c>
      <c r="P42" s="18">
        <v>4.9988425925925929E-2</v>
      </c>
      <c r="Q42" s="19">
        <v>40</v>
      </c>
      <c r="R42" s="17">
        <v>40</v>
      </c>
      <c r="S42" s="17">
        <v>21</v>
      </c>
      <c r="T42" s="17">
        <v>5</v>
      </c>
      <c r="U42" s="17" t="s">
        <v>36</v>
      </c>
      <c r="V42" s="20">
        <v>8</v>
      </c>
    </row>
    <row r="43" spans="2:22" ht="15.75" thickBot="1" x14ac:dyDescent="0.25">
      <c r="B43" s="15">
        <v>75</v>
      </c>
      <c r="C43" s="16" t="s">
        <v>297</v>
      </c>
      <c r="D43" s="17" t="s">
        <v>273</v>
      </c>
      <c r="E43" s="18">
        <v>0.4513888888888889</v>
      </c>
      <c r="F43" s="18">
        <v>9.9074074074074082E-3</v>
      </c>
      <c r="G43" s="19">
        <v>76</v>
      </c>
      <c r="H43" s="18">
        <v>6.9444444444444447E-4</v>
      </c>
      <c r="I43" s="19">
        <v>24</v>
      </c>
      <c r="J43" s="18">
        <v>2.3923611111111111E-2</v>
      </c>
      <c r="K43" s="19">
        <v>50</v>
      </c>
      <c r="L43" s="18">
        <v>1.0648148148148149E-3</v>
      </c>
      <c r="M43" s="19">
        <v>43</v>
      </c>
      <c r="N43" s="18">
        <v>1.4456018518518519E-2</v>
      </c>
      <c r="O43" s="19">
        <v>58</v>
      </c>
      <c r="P43" s="18">
        <v>5.0057870370370371E-2</v>
      </c>
      <c r="Q43" s="19">
        <v>41</v>
      </c>
      <c r="R43" s="17">
        <v>41</v>
      </c>
      <c r="S43" s="17">
        <v>24</v>
      </c>
      <c r="T43" s="17">
        <v>28</v>
      </c>
      <c r="U43" s="17" t="s">
        <v>19</v>
      </c>
      <c r="V43" s="20">
        <v>33</v>
      </c>
    </row>
    <row r="44" spans="2:22" ht="15.75" thickBot="1" x14ac:dyDescent="0.25">
      <c r="B44" s="15">
        <v>91</v>
      </c>
      <c r="C44" s="16" t="s">
        <v>51</v>
      </c>
      <c r="D44" s="17" t="s">
        <v>52</v>
      </c>
      <c r="E44" s="18">
        <v>0.4513888888888889</v>
      </c>
      <c r="F44" s="18">
        <v>9.2013888888888892E-3</v>
      </c>
      <c r="G44" s="19">
        <v>37</v>
      </c>
      <c r="H44" s="18">
        <v>6.9444444444444447E-4</v>
      </c>
      <c r="I44" s="19">
        <v>16</v>
      </c>
      <c r="J44" s="18">
        <v>2.4212962962962964E-2</v>
      </c>
      <c r="K44" s="19">
        <v>61</v>
      </c>
      <c r="L44" s="18">
        <v>9.6064814814814819E-4</v>
      </c>
      <c r="M44" s="19">
        <v>25</v>
      </c>
      <c r="N44" s="18">
        <v>1.5023148148148148E-2</v>
      </c>
      <c r="O44" s="19">
        <v>76</v>
      </c>
      <c r="P44" s="18">
        <v>5.0115740740740738E-2</v>
      </c>
      <c r="Q44" s="19">
        <v>42</v>
      </c>
      <c r="R44" s="17">
        <v>42</v>
      </c>
      <c r="S44" s="17">
        <v>19</v>
      </c>
      <c r="T44" s="17">
        <v>6</v>
      </c>
      <c r="U44" s="17" t="s">
        <v>19</v>
      </c>
      <c r="V44" s="20">
        <v>34</v>
      </c>
    </row>
    <row r="45" spans="2:22" ht="15.75" thickBot="1" x14ac:dyDescent="0.25">
      <c r="B45" s="15">
        <v>170</v>
      </c>
      <c r="C45" s="16" t="s">
        <v>298</v>
      </c>
      <c r="D45" s="17" t="s">
        <v>45</v>
      </c>
      <c r="E45" s="18">
        <v>0.45833333333333331</v>
      </c>
      <c r="F45" s="18">
        <v>9.5486111111111119E-3</v>
      </c>
      <c r="G45" s="19">
        <v>57</v>
      </c>
      <c r="H45" s="18">
        <v>9.7222222222222219E-4</v>
      </c>
      <c r="I45" s="19">
        <v>49</v>
      </c>
      <c r="J45" s="18">
        <v>2.4305555555555556E-2</v>
      </c>
      <c r="K45" s="19">
        <v>62</v>
      </c>
      <c r="L45" s="18">
        <v>1.1111111111111111E-3</v>
      </c>
      <c r="M45" s="19">
        <v>50</v>
      </c>
      <c r="N45" s="18">
        <v>1.4236111111111111E-2</v>
      </c>
      <c r="O45" s="19">
        <v>49</v>
      </c>
      <c r="P45" s="18">
        <v>5.019675925925926E-2</v>
      </c>
      <c r="Q45" s="19">
        <v>43</v>
      </c>
      <c r="R45" s="17">
        <v>43</v>
      </c>
      <c r="S45" s="17">
        <v>30</v>
      </c>
      <c r="T45" s="17">
        <v>1</v>
      </c>
      <c r="U45" s="17" t="s">
        <v>36</v>
      </c>
      <c r="V45" s="20">
        <v>9</v>
      </c>
    </row>
    <row r="46" spans="2:22" ht="15.75" thickBot="1" x14ac:dyDescent="0.25">
      <c r="B46" s="15">
        <v>254</v>
      </c>
      <c r="C46" s="16" t="s">
        <v>299</v>
      </c>
      <c r="D46" s="17" t="s">
        <v>300</v>
      </c>
      <c r="E46" s="18">
        <v>0.4513888888888889</v>
      </c>
      <c r="F46" s="18">
        <v>9.8148148148148144E-3</v>
      </c>
      <c r="G46" s="19">
        <v>71</v>
      </c>
      <c r="H46" s="18">
        <v>1.1111111111111111E-3</v>
      </c>
      <c r="I46" s="19">
        <v>63</v>
      </c>
      <c r="J46" s="18">
        <v>2.3703703703703703E-2</v>
      </c>
      <c r="K46" s="19">
        <v>44</v>
      </c>
      <c r="L46" s="18">
        <v>1.4699074074074074E-3</v>
      </c>
      <c r="M46" s="19">
        <v>139</v>
      </c>
      <c r="N46" s="18">
        <v>1.412037037037037E-2</v>
      </c>
      <c r="O46" s="19">
        <v>43</v>
      </c>
      <c r="P46" s="18">
        <v>5.0243055555555555E-2</v>
      </c>
      <c r="Q46" s="19">
        <v>44</v>
      </c>
      <c r="R46" s="17">
        <v>44</v>
      </c>
      <c r="S46" s="17">
        <v>22</v>
      </c>
      <c r="T46" s="17">
        <v>29</v>
      </c>
      <c r="U46" s="17" t="s">
        <v>19</v>
      </c>
      <c r="V46" s="20">
        <v>35</v>
      </c>
    </row>
    <row r="47" spans="2:22" ht="15.75" thickBot="1" x14ac:dyDescent="0.25">
      <c r="B47" s="15">
        <v>648</v>
      </c>
      <c r="C47" s="16" t="s">
        <v>301</v>
      </c>
      <c r="D47" s="17" t="s">
        <v>35</v>
      </c>
      <c r="E47" s="18">
        <v>0.4513888888888889</v>
      </c>
      <c r="F47" s="18">
        <v>8.3217592592592596E-3</v>
      </c>
      <c r="G47" s="19">
        <v>12</v>
      </c>
      <c r="H47" s="18">
        <v>1.2152777777777778E-3</v>
      </c>
      <c r="I47" s="19">
        <v>81</v>
      </c>
      <c r="J47" s="18">
        <v>2.5324074074074075E-2</v>
      </c>
      <c r="K47" s="19">
        <v>88</v>
      </c>
      <c r="L47" s="18">
        <v>1.261574074074074E-3</v>
      </c>
      <c r="M47" s="19">
        <v>93</v>
      </c>
      <c r="N47" s="18">
        <v>1.4293981481481482E-2</v>
      </c>
      <c r="O47" s="19">
        <v>53</v>
      </c>
      <c r="P47" s="18">
        <v>5.0428240740740739E-2</v>
      </c>
      <c r="Q47" s="19">
        <v>45</v>
      </c>
      <c r="R47" s="17">
        <v>45</v>
      </c>
      <c r="S47" s="17">
        <v>22</v>
      </c>
      <c r="T47" s="17">
        <v>30</v>
      </c>
      <c r="U47" s="17" t="s">
        <v>19</v>
      </c>
      <c r="V47" s="20">
        <v>36</v>
      </c>
    </row>
    <row r="48" spans="2:22" ht="15.75" thickBot="1" x14ac:dyDescent="0.25">
      <c r="B48" s="15">
        <v>129</v>
      </c>
      <c r="C48" s="16" t="s">
        <v>302</v>
      </c>
      <c r="D48" s="17" t="s">
        <v>54</v>
      </c>
      <c r="E48" s="18">
        <v>0.45833333333333331</v>
      </c>
      <c r="F48" s="18">
        <v>9.2129629629629627E-3</v>
      </c>
      <c r="G48" s="19">
        <v>39</v>
      </c>
      <c r="H48" s="18">
        <v>7.8703703703703705E-4</v>
      </c>
      <c r="I48" s="19">
        <v>34</v>
      </c>
      <c r="J48" s="18">
        <v>2.4097222222222221E-2</v>
      </c>
      <c r="K48" s="19">
        <v>56</v>
      </c>
      <c r="L48" s="18">
        <v>9.4907407407407408E-4</v>
      </c>
      <c r="M48" s="19">
        <v>22</v>
      </c>
      <c r="N48" s="18">
        <v>1.5439814814814814E-2</v>
      </c>
      <c r="O48" s="19">
        <v>96</v>
      </c>
      <c r="P48" s="18">
        <v>5.0509259259259261E-2</v>
      </c>
      <c r="Q48" s="19">
        <v>46</v>
      </c>
      <c r="R48" s="17">
        <v>46</v>
      </c>
      <c r="S48" s="17">
        <v>22</v>
      </c>
      <c r="T48" s="17">
        <v>6</v>
      </c>
      <c r="U48" s="17" t="s">
        <v>36</v>
      </c>
      <c r="V48" s="20">
        <v>10</v>
      </c>
    </row>
    <row r="49" spans="2:22" ht="15.75" thickBot="1" x14ac:dyDescent="0.25">
      <c r="B49" s="15">
        <v>190</v>
      </c>
      <c r="C49" s="16" t="s">
        <v>303</v>
      </c>
      <c r="D49" s="17" t="s">
        <v>45</v>
      </c>
      <c r="E49" s="18">
        <v>0.4513888888888889</v>
      </c>
      <c r="F49" s="18">
        <v>9.2129629629629627E-3</v>
      </c>
      <c r="G49" s="19">
        <v>40</v>
      </c>
      <c r="H49" s="18">
        <v>6.9444444444444447E-4</v>
      </c>
      <c r="I49" s="19">
        <v>17</v>
      </c>
      <c r="J49" s="18">
        <v>2.3923611111111111E-2</v>
      </c>
      <c r="K49" s="19">
        <v>49</v>
      </c>
      <c r="L49" s="18">
        <v>1.4930555555555556E-3</v>
      </c>
      <c r="M49" s="19">
        <v>142</v>
      </c>
      <c r="N49" s="18">
        <v>1.53125E-2</v>
      </c>
      <c r="O49" s="19">
        <v>87</v>
      </c>
      <c r="P49" s="18">
        <v>5.0659722222222224E-2</v>
      </c>
      <c r="Q49" s="19">
        <v>47</v>
      </c>
      <c r="R49" s="17">
        <v>47</v>
      </c>
      <c r="S49" s="17">
        <v>22</v>
      </c>
      <c r="T49" s="17">
        <v>31</v>
      </c>
      <c r="U49" s="17" t="s">
        <v>19</v>
      </c>
      <c r="V49" s="20">
        <v>37</v>
      </c>
    </row>
    <row r="50" spans="2:22" ht="15.75" thickBot="1" x14ac:dyDescent="0.25">
      <c r="B50" s="15">
        <v>246</v>
      </c>
      <c r="C50" s="16" t="s">
        <v>304</v>
      </c>
      <c r="D50" s="17" t="s">
        <v>120</v>
      </c>
      <c r="E50" s="18">
        <v>0.4513888888888889</v>
      </c>
      <c r="F50" s="18">
        <v>1.0578703703703703E-2</v>
      </c>
      <c r="G50" s="19">
        <v>106</v>
      </c>
      <c r="H50" s="18">
        <v>1.2037037037037038E-3</v>
      </c>
      <c r="I50" s="19">
        <v>77</v>
      </c>
      <c r="J50" s="18">
        <v>2.4837962962962964E-2</v>
      </c>
      <c r="K50" s="19">
        <v>75</v>
      </c>
      <c r="L50" s="18">
        <v>1.1805555555555556E-3</v>
      </c>
      <c r="M50" s="19">
        <v>71</v>
      </c>
      <c r="N50" s="18">
        <v>1.2881944444444444E-2</v>
      </c>
      <c r="O50" s="19">
        <v>20</v>
      </c>
      <c r="P50" s="18">
        <v>5.0706018518518518E-2</v>
      </c>
      <c r="Q50" s="19">
        <v>48</v>
      </c>
      <c r="R50" s="17">
        <v>48</v>
      </c>
      <c r="S50" s="17">
        <v>18</v>
      </c>
      <c r="T50" s="17">
        <v>7</v>
      </c>
      <c r="U50" s="17" t="s">
        <v>19</v>
      </c>
      <c r="V50" s="20">
        <v>38</v>
      </c>
    </row>
    <row r="51" spans="2:22" ht="15.75" thickBot="1" x14ac:dyDescent="0.25">
      <c r="B51" s="15">
        <v>232</v>
      </c>
      <c r="C51" s="16" t="s">
        <v>305</v>
      </c>
      <c r="D51" s="17" t="s">
        <v>45</v>
      </c>
      <c r="E51" s="18">
        <v>0.4513888888888889</v>
      </c>
      <c r="F51" s="18">
        <v>9.7106481481481488E-3</v>
      </c>
      <c r="G51" s="19">
        <v>64</v>
      </c>
      <c r="H51" s="18">
        <v>6.9444444444444447E-4</v>
      </c>
      <c r="I51" s="19">
        <v>22</v>
      </c>
      <c r="J51" s="18">
        <v>2.417824074074074E-2</v>
      </c>
      <c r="K51" s="19">
        <v>57</v>
      </c>
      <c r="L51" s="18">
        <v>1.1805555555555556E-3</v>
      </c>
      <c r="M51" s="19">
        <v>70</v>
      </c>
      <c r="N51" s="18">
        <v>1.5057870370370371E-2</v>
      </c>
      <c r="O51" s="19">
        <v>78</v>
      </c>
      <c r="P51" s="18">
        <v>5.0844907407407408E-2</v>
      </c>
      <c r="Q51" s="19">
        <v>49</v>
      </c>
      <c r="R51" s="17">
        <v>49</v>
      </c>
      <c r="S51" s="17">
        <v>21</v>
      </c>
      <c r="T51" s="17">
        <v>32</v>
      </c>
      <c r="U51" s="17" t="s">
        <v>19</v>
      </c>
      <c r="V51" s="20">
        <v>39</v>
      </c>
    </row>
    <row r="52" spans="2:22" ht="15.75" thickBot="1" x14ac:dyDescent="0.25">
      <c r="B52" s="15">
        <v>73</v>
      </c>
      <c r="C52" s="16" t="s">
        <v>306</v>
      </c>
      <c r="D52" s="17" t="s">
        <v>22</v>
      </c>
      <c r="E52" s="18">
        <v>0.4513888888888889</v>
      </c>
      <c r="F52" s="18">
        <v>1.0543981481481482E-2</v>
      </c>
      <c r="G52" s="19">
        <v>103</v>
      </c>
      <c r="H52" s="18">
        <v>1.8634259259259259E-3</v>
      </c>
      <c r="I52" s="19">
        <v>162</v>
      </c>
      <c r="J52" s="18">
        <v>2.4687500000000001E-2</v>
      </c>
      <c r="K52" s="19">
        <v>71</v>
      </c>
      <c r="L52" s="18">
        <v>7.5231481481481482E-4</v>
      </c>
      <c r="M52" s="19">
        <v>2</v>
      </c>
      <c r="N52" s="18">
        <v>1.2997685185185185E-2</v>
      </c>
      <c r="O52" s="19">
        <v>23</v>
      </c>
      <c r="P52" s="18">
        <v>5.0868055555555555E-2</v>
      </c>
      <c r="Q52" s="19">
        <v>50</v>
      </c>
      <c r="R52" s="17">
        <v>50</v>
      </c>
      <c r="S52" s="17">
        <v>18</v>
      </c>
      <c r="T52" s="17">
        <v>8</v>
      </c>
      <c r="U52" s="17" t="s">
        <v>19</v>
      </c>
      <c r="V52" s="20">
        <v>40</v>
      </c>
    </row>
    <row r="53" spans="2:22" ht="15.75" thickBot="1" x14ac:dyDescent="0.25">
      <c r="B53" s="21">
        <v>74</v>
      </c>
      <c r="C53" s="22" t="s">
        <v>307</v>
      </c>
      <c r="D53" s="23" t="s">
        <v>43</v>
      </c>
      <c r="E53" s="24">
        <v>0.4513888888888889</v>
      </c>
      <c r="F53" s="24">
        <v>1.0428240740740741E-2</v>
      </c>
      <c r="G53" s="19">
        <v>98</v>
      </c>
      <c r="H53" s="24">
        <v>1.1574074074074073E-3</v>
      </c>
      <c r="I53" s="19">
        <v>74</v>
      </c>
      <c r="J53" s="24">
        <v>2.3958333333333335E-2</v>
      </c>
      <c r="K53" s="19">
        <v>51</v>
      </c>
      <c r="L53" s="24">
        <v>1.4583333333333334E-3</v>
      </c>
      <c r="M53" s="19">
        <v>137</v>
      </c>
      <c r="N53" s="24">
        <v>1.3969907407407407E-2</v>
      </c>
      <c r="O53" s="19">
        <v>40</v>
      </c>
      <c r="P53" s="24">
        <v>5.0995370370370371E-2</v>
      </c>
      <c r="Q53" s="19">
        <v>51</v>
      </c>
      <c r="R53" s="23">
        <v>51</v>
      </c>
      <c r="S53" s="23">
        <v>19</v>
      </c>
      <c r="T53" s="23">
        <v>9</v>
      </c>
      <c r="U53" s="23" t="s">
        <v>19</v>
      </c>
      <c r="V53" s="25">
        <v>41</v>
      </c>
    </row>
    <row r="54" spans="2:22" ht="15.75" thickBot="1" x14ac:dyDescent="0.25">
      <c r="B54" s="15">
        <v>77</v>
      </c>
      <c r="C54" s="16" t="s">
        <v>308</v>
      </c>
      <c r="D54" s="17" t="s">
        <v>35</v>
      </c>
      <c r="E54" s="18">
        <v>0.4513888888888889</v>
      </c>
      <c r="F54" s="18">
        <v>9.3171296296296301E-3</v>
      </c>
      <c r="G54" s="19">
        <v>46</v>
      </c>
      <c r="H54" s="18">
        <v>6.9444444444444447E-4</v>
      </c>
      <c r="I54" s="19">
        <v>18</v>
      </c>
      <c r="J54" s="18">
        <v>2.5335648148148149E-2</v>
      </c>
      <c r="K54" s="19">
        <v>89</v>
      </c>
      <c r="L54" s="18">
        <v>8.4490740740740739E-4</v>
      </c>
      <c r="M54" s="19">
        <v>5</v>
      </c>
      <c r="N54" s="18">
        <v>1.480324074074074E-2</v>
      </c>
      <c r="O54" s="19">
        <v>70</v>
      </c>
      <c r="P54" s="18">
        <v>5.1006944444444445E-2</v>
      </c>
      <c r="Q54" s="19">
        <v>52</v>
      </c>
      <c r="R54" s="17">
        <v>52</v>
      </c>
      <c r="S54" s="17">
        <v>22</v>
      </c>
      <c r="T54" s="17">
        <v>33</v>
      </c>
      <c r="U54" s="17" t="s">
        <v>19</v>
      </c>
      <c r="V54" s="20">
        <v>42</v>
      </c>
    </row>
    <row r="55" spans="2:22" ht="15.75" thickBot="1" x14ac:dyDescent="0.25">
      <c r="B55" s="15">
        <v>126</v>
      </c>
      <c r="C55" s="16" t="s">
        <v>121</v>
      </c>
      <c r="D55" s="17" t="s">
        <v>117</v>
      </c>
      <c r="E55" s="18">
        <v>0.4513888888888889</v>
      </c>
      <c r="F55" s="18">
        <v>9.6412037037037039E-3</v>
      </c>
      <c r="G55" s="19">
        <v>61</v>
      </c>
      <c r="H55" s="18">
        <v>1.5393518518518519E-3</v>
      </c>
      <c r="I55" s="19">
        <v>122</v>
      </c>
      <c r="J55" s="18">
        <v>2.361111111111111E-2</v>
      </c>
      <c r="K55" s="19">
        <v>43</v>
      </c>
      <c r="L55" s="18">
        <v>1.238425925925926E-3</v>
      </c>
      <c r="M55" s="19">
        <v>85</v>
      </c>
      <c r="N55" s="18">
        <v>1.4999999999999999E-2</v>
      </c>
      <c r="O55" s="19">
        <v>75</v>
      </c>
      <c r="P55" s="18">
        <v>5.1041666666666666E-2</v>
      </c>
      <c r="Q55" s="19">
        <v>53</v>
      </c>
      <c r="R55" s="17">
        <v>53</v>
      </c>
      <c r="S55" s="17">
        <v>19</v>
      </c>
      <c r="T55" s="17">
        <v>10</v>
      </c>
      <c r="U55" s="17" t="s">
        <v>19</v>
      </c>
      <c r="V55" s="20">
        <v>43</v>
      </c>
    </row>
    <row r="56" spans="2:22" ht="15.75" thickBot="1" x14ac:dyDescent="0.25">
      <c r="B56" s="15">
        <v>301</v>
      </c>
      <c r="C56" s="16" t="s">
        <v>309</v>
      </c>
      <c r="D56" s="17" t="s">
        <v>155</v>
      </c>
      <c r="E56" s="18">
        <v>0.4513888888888889</v>
      </c>
      <c r="F56" s="18">
        <v>9.5023148148148141E-3</v>
      </c>
      <c r="G56" s="19">
        <v>52</v>
      </c>
      <c r="H56" s="18">
        <v>6.9444444444444447E-4</v>
      </c>
      <c r="I56" s="19">
        <v>19</v>
      </c>
      <c r="J56" s="18">
        <v>2.3449074074074074E-2</v>
      </c>
      <c r="K56" s="19">
        <v>36</v>
      </c>
      <c r="L56" s="18">
        <v>1.0995370370370371E-3</v>
      </c>
      <c r="M56" s="19">
        <v>48</v>
      </c>
      <c r="N56" s="18">
        <v>1.6307870370370372E-2</v>
      </c>
      <c r="O56" s="19">
        <v>121</v>
      </c>
      <c r="P56" s="18">
        <v>5.1064814814814813E-2</v>
      </c>
      <c r="Q56" s="19">
        <v>54</v>
      </c>
      <c r="R56" s="17">
        <v>54</v>
      </c>
      <c r="S56" s="17">
        <v>18</v>
      </c>
      <c r="T56" s="17">
        <v>11</v>
      </c>
      <c r="U56" s="17" t="s">
        <v>19</v>
      </c>
      <c r="V56" s="20">
        <v>44</v>
      </c>
    </row>
    <row r="57" spans="2:22" ht="15.75" thickBot="1" x14ac:dyDescent="0.25">
      <c r="B57" s="15">
        <v>316</v>
      </c>
      <c r="C57" s="16" t="s">
        <v>310</v>
      </c>
      <c r="D57" s="17" t="s">
        <v>311</v>
      </c>
      <c r="E57" s="18">
        <v>0.4513888888888889</v>
      </c>
      <c r="F57" s="18">
        <v>9.8495370370370369E-3</v>
      </c>
      <c r="G57" s="19">
        <v>74</v>
      </c>
      <c r="H57" s="18">
        <v>1.2268518518518518E-3</v>
      </c>
      <c r="I57" s="19">
        <v>84</v>
      </c>
      <c r="J57" s="18">
        <v>2.4039351851851853E-2</v>
      </c>
      <c r="K57" s="19">
        <v>52</v>
      </c>
      <c r="L57" s="18">
        <v>1.3310185185185185E-3</v>
      </c>
      <c r="M57" s="19">
        <v>108</v>
      </c>
      <c r="N57" s="18">
        <v>1.4652777777777778E-2</v>
      </c>
      <c r="O57" s="19">
        <v>63</v>
      </c>
      <c r="P57" s="18">
        <v>5.1122685185185188E-2</v>
      </c>
      <c r="Q57" s="19">
        <v>55</v>
      </c>
      <c r="R57" s="17">
        <v>55</v>
      </c>
      <c r="S57" s="17">
        <v>20</v>
      </c>
      <c r="T57" s="17">
        <v>34</v>
      </c>
      <c r="U57" s="17" t="s">
        <v>19</v>
      </c>
      <c r="V57" s="20">
        <v>45</v>
      </c>
    </row>
    <row r="58" spans="2:22" ht="15.75" thickBot="1" x14ac:dyDescent="0.25">
      <c r="B58" s="15">
        <v>260</v>
      </c>
      <c r="C58" s="16" t="s">
        <v>312</v>
      </c>
      <c r="D58" s="17" t="s">
        <v>133</v>
      </c>
      <c r="E58" s="18">
        <v>0.45833333333333331</v>
      </c>
      <c r="F58" s="18">
        <v>8.4606481481481477E-3</v>
      </c>
      <c r="G58" s="19">
        <v>13</v>
      </c>
      <c r="H58" s="18">
        <v>1.1574074074074073E-3</v>
      </c>
      <c r="I58" s="19">
        <v>72</v>
      </c>
      <c r="J58" s="18">
        <v>2.5173611111111112E-2</v>
      </c>
      <c r="K58" s="19">
        <v>85</v>
      </c>
      <c r="L58" s="18">
        <v>1.0300925925925926E-3</v>
      </c>
      <c r="M58" s="19">
        <v>38</v>
      </c>
      <c r="N58" s="18">
        <v>1.5289351851851853E-2</v>
      </c>
      <c r="O58" s="19">
        <v>86</v>
      </c>
      <c r="P58" s="18">
        <v>5.1145833333333335E-2</v>
      </c>
      <c r="Q58" s="19">
        <v>56</v>
      </c>
      <c r="R58" s="17">
        <v>56</v>
      </c>
      <c r="S58" s="17">
        <v>23</v>
      </c>
      <c r="T58" s="17">
        <v>7</v>
      </c>
      <c r="U58" s="17" t="s">
        <v>36</v>
      </c>
      <c r="V58" s="20">
        <v>11</v>
      </c>
    </row>
    <row r="59" spans="2:22" ht="15.75" thickBot="1" x14ac:dyDescent="0.25">
      <c r="B59" s="15">
        <v>130</v>
      </c>
      <c r="C59" s="16" t="s">
        <v>313</v>
      </c>
      <c r="D59" s="17" t="s">
        <v>146</v>
      </c>
      <c r="E59" s="18">
        <v>0.4513888888888889</v>
      </c>
      <c r="F59" s="18">
        <v>8.9814814814814809E-3</v>
      </c>
      <c r="G59" s="19">
        <v>27</v>
      </c>
      <c r="H59" s="18">
        <v>6.9444444444444447E-4</v>
      </c>
      <c r="I59" s="19">
        <v>15</v>
      </c>
      <c r="J59" s="18">
        <v>2.5659722222222223E-2</v>
      </c>
      <c r="K59" s="19">
        <v>96</v>
      </c>
      <c r="L59" s="18">
        <v>1.3888888888888889E-3</v>
      </c>
      <c r="M59" s="19">
        <v>124</v>
      </c>
      <c r="N59" s="18">
        <v>1.4421296296296297E-2</v>
      </c>
      <c r="O59" s="19">
        <v>57</v>
      </c>
      <c r="P59" s="18">
        <v>5.1157407407407408E-2</v>
      </c>
      <c r="Q59" s="19">
        <v>57</v>
      </c>
      <c r="R59" s="17">
        <v>57</v>
      </c>
      <c r="S59" s="17">
        <v>18</v>
      </c>
      <c r="T59" s="17">
        <v>12</v>
      </c>
      <c r="U59" s="17" t="s">
        <v>19</v>
      </c>
      <c r="V59" s="20">
        <v>46</v>
      </c>
    </row>
    <row r="60" spans="2:22" ht="15.75" thickBot="1" x14ac:dyDescent="0.25">
      <c r="B60" s="15">
        <v>220</v>
      </c>
      <c r="C60" s="16" t="s">
        <v>314</v>
      </c>
      <c r="D60" s="17" t="s">
        <v>315</v>
      </c>
      <c r="E60" s="18">
        <v>0.45833333333333331</v>
      </c>
      <c r="F60" s="18">
        <v>9.6990740740740735E-3</v>
      </c>
      <c r="G60" s="19">
        <v>63</v>
      </c>
      <c r="H60" s="18">
        <v>1.1342592592592593E-3</v>
      </c>
      <c r="I60" s="19">
        <v>68</v>
      </c>
      <c r="J60" s="18">
        <v>2.255787037037037E-2</v>
      </c>
      <c r="K60" s="19">
        <v>24</v>
      </c>
      <c r="L60" s="18">
        <v>1.1342592592592593E-3</v>
      </c>
      <c r="M60" s="19">
        <v>56</v>
      </c>
      <c r="N60" s="18">
        <v>1.6712962962962964E-2</v>
      </c>
      <c r="O60" s="19">
        <v>130</v>
      </c>
      <c r="P60" s="18">
        <v>5.1261574074074077E-2</v>
      </c>
      <c r="Q60" s="19">
        <v>58</v>
      </c>
      <c r="R60" s="17">
        <v>58</v>
      </c>
      <c r="S60" s="17">
        <v>22</v>
      </c>
      <c r="T60" s="17">
        <v>8</v>
      </c>
      <c r="U60" s="17" t="s">
        <v>36</v>
      </c>
      <c r="V60" s="20">
        <v>12</v>
      </c>
    </row>
    <row r="61" spans="2:22" ht="15.75" thickBot="1" x14ac:dyDescent="0.25">
      <c r="B61" s="15">
        <v>138</v>
      </c>
      <c r="C61" s="16" t="s">
        <v>318</v>
      </c>
      <c r="D61" s="17" t="s">
        <v>45</v>
      </c>
      <c r="E61" s="18">
        <v>0.4513888888888889</v>
      </c>
      <c r="F61" s="18">
        <v>1.0532407407407407E-2</v>
      </c>
      <c r="G61" s="19">
        <v>101</v>
      </c>
      <c r="H61" s="18">
        <v>1.0416666666666667E-3</v>
      </c>
      <c r="I61" s="19">
        <v>54</v>
      </c>
      <c r="J61" s="18">
        <v>2.4502314814814814E-2</v>
      </c>
      <c r="K61" s="19">
        <v>66</v>
      </c>
      <c r="L61" s="18">
        <v>1.261574074074074E-3</v>
      </c>
      <c r="M61" s="19">
        <v>92</v>
      </c>
      <c r="N61" s="18">
        <v>1.3946759259259259E-2</v>
      </c>
      <c r="O61" s="19">
        <v>37</v>
      </c>
      <c r="P61" s="18">
        <v>5.1296296296296298E-2</v>
      </c>
      <c r="Q61" s="19">
        <v>59</v>
      </c>
      <c r="R61" s="17">
        <v>60</v>
      </c>
      <c r="S61" s="17">
        <v>21</v>
      </c>
      <c r="T61" s="17">
        <v>35</v>
      </c>
      <c r="U61" s="17" t="s">
        <v>19</v>
      </c>
      <c r="V61" s="20">
        <v>47</v>
      </c>
    </row>
    <row r="62" spans="2:22" ht="15.75" thickBot="1" x14ac:dyDescent="0.25">
      <c r="B62" s="15">
        <v>84</v>
      </c>
      <c r="C62" s="16" t="s">
        <v>316</v>
      </c>
      <c r="D62" s="17" t="s">
        <v>317</v>
      </c>
      <c r="E62" s="18">
        <v>0.45833333333333331</v>
      </c>
      <c r="F62" s="18">
        <v>8.611111111111111E-3</v>
      </c>
      <c r="G62" s="19">
        <v>16</v>
      </c>
      <c r="H62" s="18">
        <v>1.3310185185185185E-3</v>
      </c>
      <c r="I62" s="19">
        <v>96</v>
      </c>
      <c r="J62" s="18">
        <v>2.5648148148148149E-2</v>
      </c>
      <c r="K62" s="19">
        <v>94</v>
      </c>
      <c r="L62" s="18">
        <v>1.3425925925925925E-3</v>
      </c>
      <c r="M62" s="19">
        <v>113</v>
      </c>
      <c r="N62" s="18">
        <v>1.4340277777777778E-2</v>
      </c>
      <c r="O62" s="19">
        <v>56</v>
      </c>
      <c r="P62" s="18">
        <v>5.1296296296296298E-2</v>
      </c>
      <c r="Q62" s="19">
        <v>60</v>
      </c>
      <c r="R62" s="17">
        <v>59</v>
      </c>
      <c r="S62" s="17">
        <v>18</v>
      </c>
      <c r="T62" s="17">
        <v>3</v>
      </c>
      <c r="U62" s="17" t="s">
        <v>36</v>
      </c>
      <c r="V62" s="20">
        <v>13</v>
      </c>
    </row>
    <row r="63" spans="2:22" ht="15.75" thickBot="1" x14ac:dyDescent="0.25">
      <c r="B63" s="26">
        <v>135</v>
      </c>
      <c r="C63" s="27" t="s">
        <v>319</v>
      </c>
      <c r="D63" s="28" t="s">
        <v>320</v>
      </c>
      <c r="E63" s="29">
        <v>0.4513888888888889</v>
      </c>
      <c r="F63" s="29">
        <v>1.0254629629629629E-2</v>
      </c>
      <c r="G63" s="19">
        <v>88</v>
      </c>
      <c r="H63" s="29">
        <v>1.736111111111111E-3</v>
      </c>
      <c r="I63" s="19">
        <v>149</v>
      </c>
      <c r="J63" s="29">
        <v>2.3773148148148147E-2</v>
      </c>
      <c r="K63" s="19">
        <v>46</v>
      </c>
      <c r="L63" s="29">
        <v>1.4120370370370369E-3</v>
      </c>
      <c r="M63" s="19">
        <v>127</v>
      </c>
      <c r="N63" s="29">
        <v>1.4166666666666666E-2</v>
      </c>
      <c r="O63" s="19">
        <v>44</v>
      </c>
      <c r="P63" s="29">
        <v>5.1354166666666666E-2</v>
      </c>
      <c r="Q63" s="19">
        <v>61</v>
      </c>
      <c r="R63" s="28">
        <v>61</v>
      </c>
      <c r="S63" s="28">
        <v>19</v>
      </c>
      <c r="T63" s="28">
        <v>13</v>
      </c>
      <c r="U63" s="28" t="s">
        <v>19</v>
      </c>
      <c r="V63" s="30">
        <v>48</v>
      </c>
    </row>
    <row r="64" spans="2:22" ht="15.75" thickBot="1" x14ac:dyDescent="0.25">
      <c r="B64" s="15">
        <v>60</v>
      </c>
      <c r="C64" s="16" t="s">
        <v>321</v>
      </c>
      <c r="D64" s="17" t="s">
        <v>45</v>
      </c>
      <c r="E64" s="18">
        <v>0.45833333333333331</v>
      </c>
      <c r="F64" s="18">
        <v>9.432870370370371E-3</v>
      </c>
      <c r="G64" s="19">
        <v>50</v>
      </c>
      <c r="H64" s="18">
        <v>7.7546296296296293E-4</v>
      </c>
      <c r="I64" s="19">
        <v>32</v>
      </c>
      <c r="J64" s="18">
        <v>2.5092592592592593E-2</v>
      </c>
      <c r="K64" s="19">
        <v>81</v>
      </c>
      <c r="L64" s="18">
        <v>1.2152777777777778E-3</v>
      </c>
      <c r="M64" s="19">
        <v>81</v>
      </c>
      <c r="N64" s="18">
        <v>1.4895833333333334E-2</v>
      </c>
      <c r="O64" s="19">
        <v>73</v>
      </c>
      <c r="P64" s="18">
        <v>5.1435185185185188E-2</v>
      </c>
      <c r="Q64" s="19">
        <v>62</v>
      </c>
      <c r="R64" s="17">
        <v>62</v>
      </c>
      <c r="S64" s="17">
        <v>21</v>
      </c>
      <c r="T64" s="17">
        <v>9</v>
      </c>
      <c r="U64" s="17" t="s">
        <v>36</v>
      </c>
      <c r="V64" s="20">
        <v>14</v>
      </c>
    </row>
    <row r="65" spans="2:22" ht="15.75" thickBot="1" x14ac:dyDescent="0.25">
      <c r="B65" s="15">
        <v>141</v>
      </c>
      <c r="C65" s="16" t="s">
        <v>322</v>
      </c>
      <c r="D65" s="17" t="s">
        <v>133</v>
      </c>
      <c r="E65" s="18">
        <v>0.4513888888888889</v>
      </c>
      <c r="F65" s="18">
        <v>1.050925925925926E-2</v>
      </c>
      <c r="G65" s="19">
        <v>99</v>
      </c>
      <c r="H65" s="18">
        <v>1.4120370370370369E-3</v>
      </c>
      <c r="I65" s="19">
        <v>109</v>
      </c>
      <c r="J65" s="18">
        <v>2.388888888888889E-2</v>
      </c>
      <c r="K65" s="19">
        <v>48</v>
      </c>
      <c r="L65" s="18">
        <v>1.1689814814814816E-3</v>
      </c>
      <c r="M65" s="19">
        <v>66</v>
      </c>
      <c r="N65" s="18">
        <v>1.4733796296296297E-2</v>
      </c>
      <c r="O65" s="19">
        <v>67</v>
      </c>
      <c r="P65" s="18">
        <v>5.1724537037037034E-2</v>
      </c>
      <c r="Q65" s="19">
        <v>63</v>
      </c>
      <c r="R65" s="17">
        <v>63</v>
      </c>
      <c r="S65" s="17">
        <v>19</v>
      </c>
      <c r="T65" s="17">
        <v>14</v>
      </c>
      <c r="U65" s="17" t="s">
        <v>19</v>
      </c>
      <c r="V65" s="20">
        <v>49</v>
      </c>
    </row>
    <row r="66" spans="2:22" ht="15.75" thickBot="1" x14ac:dyDescent="0.25">
      <c r="B66" s="15">
        <v>223</v>
      </c>
      <c r="C66" s="16" t="s">
        <v>323</v>
      </c>
      <c r="D66" s="17" t="s">
        <v>164</v>
      </c>
      <c r="E66" s="18">
        <v>0.4513888888888889</v>
      </c>
      <c r="F66" s="18">
        <v>1.1666666666666667E-2</v>
      </c>
      <c r="G66" s="19">
        <v>157</v>
      </c>
      <c r="H66" s="18">
        <v>1.5740740740740741E-3</v>
      </c>
      <c r="I66" s="19">
        <v>128</v>
      </c>
      <c r="J66" s="18">
        <v>2.5046296296296296E-2</v>
      </c>
      <c r="K66" s="19">
        <v>79</v>
      </c>
      <c r="L66" s="18">
        <v>1.1458333333333333E-3</v>
      </c>
      <c r="M66" s="19">
        <v>59</v>
      </c>
      <c r="N66" s="18">
        <v>1.2280092592592592E-2</v>
      </c>
      <c r="O66" s="19">
        <v>11</v>
      </c>
      <c r="P66" s="18">
        <v>5.1736111111111108E-2</v>
      </c>
      <c r="Q66" s="19">
        <v>64</v>
      </c>
      <c r="R66" s="17">
        <v>64</v>
      </c>
      <c r="S66" s="17">
        <v>21</v>
      </c>
      <c r="T66" s="17">
        <v>36</v>
      </c>
      <c r="U66" s="17" t="s">
        <v>19</v>
      </c>
      <c r="V66" s="20">
        <v>50</v>
      </c>
    </row>
    <row r="67" spans="2:22" ht="15.75" thickBot="1" x14ac:dyDescent="0.25">
      <c r="B67" s="15">
        <v>247</v>
      </c>
      <c r="C67" s="16" t="s">
        <v>324</v>
      </c>
      <c r="D67" s="17" t="s">
        <v>325</v>
      </c>
      <c r="E67" s="18">
        <v>0.4513888888888889</v>
      </c>
      <c r="F67" s="18">
        <v>1.1122685185185185E-2</v>
      </c>
      <c r="G67" s="19">
        <v>133</v>
      </c>
      <c r="H67" s="18">
        <v>0</v>
      </c>
      <c r="I67" s="19"/>
      <c r="J67" s="18">
        <v>2.5138888888888888E-2</v>
      </c>
      <c r="K67" s="19">
        <v>83</v>
      </c>
      <c r="L67" s="18">
        <v>1.1226851851851851E-3</v>
      </c>
      <c r="M67" s="19">
        <v>53</v>
      </c>
      <c r="N67" s="18">
        <v>1.5138888888888889E-2</v>
      </c>
      <c r="O67" s="19">
        <v>79</v>
      </c>
      <c r="P67" s="18">
        <v>5.1840277777777777E-2</v>
      </c>
      <c r="Q67" s="19">
        <v>65</v>
      </c>
      <c r="R67" s="17">
        <v>65</v>
      </c>
      <c r="S67" s="17">
        <v>19</v>
      </c>
      <c r="T67" s="17">
        <v>15</v>
      </c>
      <c r="U67" s="17" t="s">
        <v>19</v>
      </c>
      <c r="V67" s="20">
        <v>51</v>
      </c>
    </row>
    <row r="68" spans="2:22" ht="15.75" thickBot="1" x14ac:dyDescent="0.25">
      <c r="B68" s="15">
        <v>145</v>
      </c>
      <c r="C68" s="16" t="s">
        <v>110</v>
      </c>
      <c r="D68" s="17" t="s">
        <v>77</v>
      </c>
      <c r="E68" s="18">
        <v>0.45833333333333331</v>
      </c>
      <c r="F68" s="18">
        <v>9.1898148148148156E-3</v>
      </c>
      <c r="G68" s="19">
        <v>36</v>
      </c>
      <c r="H68" s="18">
        <v>1.0995370370370371E-3</v>
      </c>
      <c r="I68" s="19">
        <v>60</v>
      </c>
      <c r="J68" s="18">
        <v>2.4502314814814814E-2</v>
      </c>
      <c r="K68" s="19">
        <v>67</v>
      </c>
      <c r="L68" s="18">
        <v>1.1689814814814816E-3</v>
      </c>
      <c r="M68" s="19">
        <v>67</v>
      </c>
      <c r="N68" s="18">
        <v>1.6006944444444445E-2</v>
      </c>
      <c r="O68" s="19">
        <v>109</v>
      </c>
      <c r="P68" s="18">
        <v>5.199074074074074E-2</v>
      </c>
      <c r="Q68" s="19">
        <v>66</v>
      </c>
      <c r="R68" s="17">
        <v>66</v>
      </c>
      <c r="S68" s="17">
        <v>18</v>
      </c>
      <c r="T68" s="17">
        <v>4</v>
      </c>
      <c r="U68" s="17" t="s">
        <v>36</v>
      </c>
      <c r="V68" s="20">
        <v>15</v>
      </c>
    </row>
    <row r="69" spans="2:22" ht="15.75" thickBot="1" x14ac:dyDescent="0.25">
      <c r="B69" s="15">
        <v>117</v>
      </c>
      <c r="C69" s="16" t="s">
        <v>326</v>
      </c>
      <c r="D69" s="17" t="s">
        <v>54</v>
      </c>
      <c r="E69" s="18">
        <v>0.45833333333333331</v>
      </c>
      <c r="F69" s="18">
        <v>9.2361111111111116E-3</v>
      </c>
      <c r="G69" s="19">
        <v>41</v>
      </c>
      <c r="H69" s="18">
        <v>1.0995370370370371E-3</v>
      </c>
      <c r="I69" s="19">
        <v>61</v>
      </c>
      <c r="J69" s="18">
        <v>2.5729166666666668E-2</v>
      </c>
      <c r="K69" s="19">
        <v>99</v>
      </c>
      <c r="L69" s="18">
        <v>1.0069444444444444E-3</v>
      </c>
      <c r="M69" s="19">
        <v>34</v>
      </c>
      <c r="N69" s="18">
        <v>1.494212962962963E-2</v>
      </c>
      <c r="O69" s="19">
        <v>74</v>
      </c>
      <c r="P69" s="18">
        <v>5.2037037037037034E-2</v>
      </c>
      <c r="Q69" s="19">
        <v>67</v>
      </c>
      <c r="R69" s="17">
        <v>67</v>
      </c>
      <c r="S69" s="17">
        <v>22</v>
      </c>
      <c r="T69" s="17">
        <v>10</v>
      </c>
      <c r="U69" s="17" t="s">
        <v>36</v>
      </c>
      <c r="V69" s="20">
        <v>16</v>
      </c>
    </row>
    <row r="70" spans="2:22" ht="15.75" thickBot="1" x14ac:dyDescent="0.25">
      <c r="B70" s="15">
        <v>88</v>
      </c>
      <c r="C70" s="16" t="s">
        <v>327</v>
      </c>
      <c r="D70" s="17" t="s">
        <v>77</v>
      </c>
      <c r="E70" s="18">
        <v>0.4513888888888889</v>
      </c>
      <c r="F70" s="18">
        <v>1.1238425925925926E-2</v>
      </c>
      <c r="G70" s="19">
        <v>140</v>
      </c>
      <c r="H70" s="18">
        <v>0</v>
      </c>
      <c r="I70" s="19"/>
      <c r="J70" s="18">
        <v>2.5798611111111112E-2</v>
      </c>
      <c r="K70" s="19">
        <v>103</v>
      </c>
      <c r="L70" s="18">
        <v>1.5509259259259259E-3</v>
      </c>
      <c r="M70" s="19">
        <v>151</v>
      </c>
      <c r="N70" s="18">
        <v>1.4236111111111111E-2</v>
      </c>
      <c r="O70" s="19">
        <v>50</v>
      </c>
      <c r="P70" s="18">
        <v>5.2141203703703703E-2</v>
      </c>
      <c r="Q70" s="19">
        <v>68</v>
      </c>
      <c r="R70" s="17">
        <v>68</v>
      </c>
      <c r="S70" s="17">
        <v>23</v>
      </c>
      <c r="T70" s="17">
        <v>37</v>
      </c>
      <c r="U70" s="17" t="s">
        <v>19</v>
      </c>
      <c r="V70" s="20">
        <v>52</v>
      </c>
    </row>
    <row r="71" spans="2:22" ht="15.75" thickBot="1" x14ac:dyDescent="0.25">
      <c r="B71" s="15">
        <v>313</v>
      </c>
      <c r="C71" s="16" t="s">
        <v>328</v>
      </c>
      <c r="D71" s="17" t="s">
        <v>329</v>
      </c>
      <c r="E71" s="18">
        <v>0.45833333333333331</v>
      </c>
      <c r="F71" s="18">
        <v>9.5486111111111119E-3</v>
      </c>
      <c r="G71" s="19">
        <v>58</v>
      </c>
      <c r="H71" s="18">
        <v>1.1574074074074073E-3</v>
      </c>
      <c r="I71" s="19">
        <v>73</v>
      </c>
      <c r="J71" s="18">
        <v>2.5405092592592594E-2</v>
      </c>
      <c r="K71" s="19">
        <v>91</v>
      </c>
      <c r="L71" s="18">
        <v>1.3541666666666667E-3</v>
      </c>
      <c r="M71" s="19">
        <v>115</v>
      </c>
      <c r="N71" s="18">
        <v>1.4756944444444444E-2</v>
      </c>
      <c r="O71" s="19">
        <v>68</v>
      </c>
      <c r="P71" s="18">
        <v>5.2245370370370373E-2</v>
      </c>
      <c r="Q71" s="19">
        <v>69</v>
      </c>
      <c r="R71" s="17">
        <v>69</v>
      </c>
      <c r="S71" s="17">
        <v>20</v>
      </c>
      <c r="T71" s="17">
        <v>11</v>
      </c>
      <c r="U71" s="17" t="s">
        <v>36</v>
      </c>
      <c r="V71" s="20">
        <v>17</v>
      </c>
    </row>
    <row r="72" spans="2:22" ht="15.75" thickBot="1" x14ac:dyDescent="0.25">
      <c r="B72" s="15">
        <v>122</v>
      </c>
      <c r="C72" s="16" t="s">
        <v>330</v>
      </c>
      <c r="D72" s="17" t="s">
        <v>164</v>
      </c>
      <c r="E72" s="18">
        <v>0.45833333333333331</v>
      </c>
      <c r="F72" s="18">
        <v>8.0092592592592594E-3</v>
      </c>
      <c r="G72" s="19">
        <v>8</v>
      </c>
      <c r="H72" s="18">
        <v>9.1435185185185185E-4</v>
      </c>
      <c r="I72" s="19">
        <v>44</v>
      </c>
      <c r="J72" s="18">
        <v>2.4340277777777777E-2</v>
      </c>
      <c r="K72" s="19">
        <v>63</v>
      </c>
      <c r="L72" s="18">
        <v>1.1921296296296296E-3</v>
      </c>
      <c r="M72" s="19">
        <v>75</v>
      </c>
      <c r="N72" s="18">
        <v>1.7824074074074076E-2</v>
      </c>
      <c r="O72" s="19">
        <v>160</v>
      </c>
      <c r="P72" s="18">
        <v>5.2314814814814814E-2</v>
      </c>
      <c r="Q72" s="19">
        <v>70</v>
      </c>
      <c r="R72" s="17">
        <v>70</v>
      </c>
      <c r="S72" s="17">
        <v>21</v>
      </c>
      <c r="T72" s="17">
        <v>12</v>
      </c>
      <c r="U72" s="17" t="s">
        <v>36</v>
      </c>
      <c r="V72" s="20">
        <v>18</v>
      </c>
    </row>
    <row r="73" spans="2:22" ht="15.75" thickBot="1" x14ac:dyDescent="0.25">
      <c r="B73" s="15">
        <v>267</v>
      </c>
      <c r="C73" s="16" t="s">
        <v>331</v>
      </c>
      <c r="D73" s="17" t="s">
        <v>332</v>
      </c>
      <c r="E73" s="18">
        <v>0.4513888888888889</v>
      </c>
      <c r="F73" s="18">
        <v>0</v>
      </c>
      <c r="G73" s="19"/>
      <c r="H73" s="18">
        <v>0</v>
      </c>
      <c r="I73" s="19"/>
      <c r="J73" s="18">
        <v>0</v>
      </c>
      <c r="K73" s="19"/>
      <c r="L73" s="18">
        <v>0</v>
      </c>
      <c r="M73" s="19"/>
      <c r="N73" s="18">
        <v>5.2372685185185182E-2</v>
      </c>
      <c r="O73" s="19">
        <v>196</v>
      </c>
      <c r="P73" s="18">
        <v>5.2372685185185182E-2</v>
      </c>
      <c r="Q73" s="19">
        <v>71</v>
      </c>
      <c r="R73" s="17">
        <v>71</v>
      </c>
      <c r="S73" s="17">
        <v>20</v>
      </c>
      <c r="T73" s="17">
        <v>38</v>
      </c>
      <c r="U73" s="17" t="s">
        <v>19</v>
      </c>
      <c r="V73" s="20">
        <v>53</v>
      </c>
    </row>
    <row r="74" spans="2:22" ht="15.75" thickBot="1" x14ac:dyDescent="0.25">
      <c r="B74" s="15">
        <v>294</v>
      </c>
      <c r="C74" s="16" t="s">
        <v>333</v>
      </c>
      <c r="D74" s="17" t="s">
        <v>77</v>
      </c>
      <c r="E74" s="18">
        <v>0.4513888888888889</v>
      </c>
      <c r="F74" s="18">
        <v>1.1469907407407408E-2</v>
      </c>
      <c r="G74" s="19">
        <v>152</v>
      </c>
      <c r="H74" s="18">
        <v>0</v>
      </c>
      <c r="I74" s="19"/>
      <c r="J74" s="18">
        <v>2.5659722222222223E-2</v>
      </c>
      <c r="K74" s="19">
        <v>95</v>
      </c>
      <c r="L74" s="18">
        <v>1.5625000000000001E-3</v>
      </c>
      <c r="M74" s="19">
        <v>152</v>
      </c>
      <c r="N74" s="18">
        <v>1.4548611111111111E-2</v>
      </c>
      <c r="O74" s="19">
        <v>60</v>
      </c>
      <c r="P74" s="18">
        <v>5.2569444444444446E-2</v>
      </c>
      <c r="Q74" s="19">
        <v>72</v>
      </c>
      <c r="R74" s="17">
        <v>72</v>
      </c>
      <c r="S74" s="17">
        <v>21</v>
      </c>
      <c r="T74" s="17">
        <v>39</v>
      </c>
      <c r="U74" s="17" t="s">
        <v>19</v>
      </c>
      <c r="V74" s="20">
        <v>54</v>
      </c>
    </row>
    <row r="75" spans="2:22" ht="15.75" thickBot="1" x14ac:dyDescent="0.25">
      <c r="B75" s="15">
        <v>101</v>
      </c>
      <c r="C75" s="16" t="s">
        <v>334</v>
      </c>
      <c r="D75" s="17" t="s">
        <v>56</v>
      </c>
      <c r="E75" s="18">
        <v>0.4513888888888889</v>
      </c>
      <c r="F75" s="18">
        <v>0</v>
      </c>
      <c r="G75" s="19"/>
      <c r="H75" s="18">
        <v>0</v>
      </c>
      <c r="I75" s="19"/>
      <c r="J75" s="18">
        <v>0</v>
      </c>
      <c r="K75" s="19"/>
      <c r="L75" s="18">
        <v>0</v>
      </c>
      <c r="M75" s="19"/>
      <c r="N75" s="18">
        <v>5.2604166666666667E-2</v>
      </c>
      <c r="O75" s="19">
        <v>197</v>
      </c>
      <c r="P75" s="18">
        <v>5.2604166666666667E-2</v>
      </c>
      <c r="Q75" s="19">
        <v>73</v>
      </c>
      <c r="R75" s="17">
        <v>73</v>
      </c>
      <c r="S75" s="17">
        <v>22</v>
      </c>
      <c r="T75" s="17">
        <v>40</v>
      </c>
      <c r="U75" s="17" t="s">
        <v>19</v>
      </c>
      <c r="V75" s="20">
        <v>55</v>
      </c>
    </row>
    <row r="76" spans="2:22" ht="15.75" thickBot="1" x14ac:dyDescent="0.25">
      <c r="B76" s="15">
        <v>109</v>
      </c>
      <c r="C76" s="16" t="s">
        <v>335</v>
      </c>
      <c r="D76" s="17" t="s">
        <v>336</v>
      </c>
      <c r="E76" s="18">
        <v>0.4513888888888889</v>
      </c>
      <c r="F76" s="18">
        <v>1.2013888888888888E-2</v>
      </c>
      <c r="G76" s="19">
        <v>164</v>
      </c>
      <c r="H76" s="18">
        <v>1.4583333333333334E-3</v>
      </c>
      <c r="I76" s="19">
        <v>117</v>
      </c>
      <c r="J76" s="18">
        <v>2.5277777777777777E-2</v>
      </c>
      <c r="K76" s="19">
        <v>87</v>
      </c>
      <c r="L76" s="18">
        <v>1.1226851851851851E-3</v>
      </c>
      <c r="M76" s="19">
        <v>54</v>
      </c>
      <c r="N76" s="18">
        <v>1.2719907407407407E-2</v>
      </c>
      <c r="O76" s="19">
        <v>19</v>
      </c>
      <c r="P76" s="18">
        <v>5.2627314814814814E-2</v>
      </c>
      <c r="Q76" s="19">
        <v>74</v>
      </c>
      <c r="R76" s="17">
        <v>74</v>
      </c>
      <c r="S76" s="17">
        <v>19</v>
      </c>
      <c r="T76" s="17">
        <v>16</v>
      </c>
      <c r="U76" s="17" t="s">
        <v>19</v>
      </c>
      <c r="V76" s="20">
        <v>56</v>
      </c>
    </row>
    <row r="77" spans="2:22" ht="15.75" thickBot="1" x14ac:dyDescent="0.25">
      <c r="B77" s="15">
        <v>264</v>
      </c>
      <c r="C77" s="16" t="s">
        <v>337</v>
      </c>
      <c r="D77" s="17" t="s">
        <v>35</v>
      </c>
      <c r="E77" s="18">
        <v>0.4513888888888889</v>
      </c>
      <c r="F77" s="18">
        <v>1.0763888888888889E-2</v>
      </c>
      <c r="G77" s="19">
        <v>113</v>
      </c>
      <c r="H77" s="18">
        <v>1.7824074074074075E-3</v>
      </c>
      <c r="I77" s="19">
        <v>155</v>
      </c>
      <c r="J77" s="18">
        <v>2.3553240740740739E-2</v>
      </c>
      <c r="K77" s="19">
        <v>42</v>
      </c>
      <c r="L77" s="18">
        <v>1.8865740740740742E-3</v>
      </c>
      <c r="M77" s="19">
        <v>183</v>
      </c>
      <c r="N77" s="18">
        <v>1.462962962962963E-2</v>
      </c>
      <c r="O77" s="19">
        <v>62</v>
      </c>
      <c r="P77" s="18">
        <v>5.2627314814814814E-2</v>
      </c>
      <c r="Q77" s="19">
        <v>75</v>
      </c>
      <c r="R77" s="17">
        <v>75</v>
      </c>
      <c r="S77" s="17">
        <v>25</v>
      </c>
      <c r="T77" s="17">
        <v>1</v>
      </c>
      <c r="U77" s="17" t="s">
        <v>19</v>
      </c>
      <c r="V77" s="20">
        <v>57</v>
      </c>
    </row>
    <row r="78" spans="2:22" ht="15.75" thickBot="1" x14ac:dyDescent="0.25">
      <c r="B78" s="15">
        <v>134</v>
      </c>
      <c r="C78" s="16" t="s">
        <v>338</v>
      </c>
      <c r="D78" s="17" t="s">
        <v>339</v>
      </c>
      <c r="E78" s="18">
        <v>0.4513888888888889</v>
      </c>
      <c r="F78" s="18">
        <v>1.0810185185185185E-2</v>
      </c>
      <c r="G78" s="19">
        <v>116</v>
      </c>
      <c r="H78" s="18">
        <v>1.5393518518518519E-3</v>
      </c>
      <c r="I78" s="19">
        <v>123</v>
      </c>
      <c r="J78" s="18">
        <v>2.5729166666666668E-2</v>
      </c>
      <c r="K78" s="19">
        <v>100</v>
      </c>
      <c r="L78" s="18">
        <v>1.8055555555555555E-3</v>
      </c>
      <c r="M78" s="19">
        <v>177</v>
      </c>
      <c r="N78" s="18">
        <v>1.2951388888888889E-2</v>
      </c>
      <c r="O78" s="19">
        <v>21</v>
      </c>
      <c r="P78" s="18">
        <v>5.2847222222222219E-2</v>
      </c>
      <c r="Q78" s="19">
        <v>76</v>
      </c>
      <c r="R78" s="17">
        <v>76</v>
      </c>
      <c r="S78" s="17">
        <v>22</v>
      </c>
      <c r="T78" s="17">
        <v>41</v>
      </c>
      <c r="U78" s="17" t="s">
        <v>19</v>
      </c>
      <c r="V78" s="20">
        <v>58</v>
      </c>
    </row>
    <row r="79" spans="2:22" ht="15.75" thickBot="1" x14ac:dyDescent="0.25">
      <c r="B79" s="15">
        <v>78</v>
      </c>
      <c r="C79" s="16" t="s">
        <v>340</v>
      </c>
      <c r="D79" s="17" t="s">
        <v>77</v>
      </c>
      <c r="E79" s="18">
        <v>0.45833333333333331</v>
      </c>
      <c r="F79" s="18">
        <v>9.9884259259259266E-3</v>
      </c>
      <c r="G79" s="19">
        <v>80</v>
      </c>
      <c r="H79" s="18">
        <v>9.6064814814814819E-4</v>
      </c>
      <c r="I79" s="19">
        <v>46</v>
      </c>
      <c r="J79" s="18">
        <v>2.4074074074074074E-2</v>
      </c>
      <c r="K79" s="19">
        <v>54</v>
      </c>
      <c r="L79" s="18">
        <v>1.4236111111111112E-3</v>
      </c>
      <c r="M79" s="19">
        <v>128</v>
      </c>
      <c r="N79" s="18">
        <v>1.6446759259259258E-2</v>
      </c>
      <c r="O79" s="19">
        <v>126</v>
      </c>
      <c r="P79" s="18">
        <v>5.2916666666666667E-2</v>
      </c>
      <c r="Q79" s="19">
        <v>77</v>
      </c>
      <c r="R79" s="17">
        <v>77</v>
      </c>
      <c r="S79" s="17">
        <v>21</v>
      </c>
      <c r="T79" s="17">
        <v>13</v>
      </c>
      <c r="U79" s="17" t="s">
        <v>36</v>
      </c>
      <c r="V79" s="20">
        <v>19</v>
      </c>
    </row>
    <row r="80" spans="2:22" ht="15.75" thickBot="1" x14ac:dyDescent="0.25">
      <c r="B80" s="15">
        <v>283</v>
      </c>
      <c r="C80" s="16" t="s">
        <v>341</v>
      </c>
      <c r="D80" s="17" t="s">
        <v>77</v>
      </c>
      <c r="E80" s="18">
        <v>0.4513888888888889</v>
      </c>
      <c r="F80" s="18">
        <v>1.0324074074074074E-2</v>
      </c>
      <c r="G80" s="19">
        <v>96</v>
      </c>
      <c r="H80" s="18">
        <v>7.7546296296296293E-4</v>
      </c>
      <c r="I80" s="19">
        <v>33</v>
      </c>
      <c r="J80" s="18">
        <v>2.6342592592592591E-2</v>
      </c>
      <c r="K80" s="19">
        <v>120</v>
      </c>
      <c r="L80" s="18">
        <v>8.4490740740740739E-4</v>
      </c>
      <c r="M80" s="19">
        <v>6</v>
      </c>
      <c r="N80" s="18">
        <v>1.4699074074074074E-2</v>
      </c>
      <c r="O80" s="19">
        <v>65</v>
      </c>
      <c r="P80" s="18">
        <v>5.3009259259259256E-2</v>
      </c>
      <c r="Q80" s="19">
        <v>78</v>
      </c>
      <c r="R80" s="17">
        <v>78</v>
      </c>
      <c r="S80" s="17">
        <v>21</v>
      </c>
      <c r="T80" s="17">
        <v>42</v>
      </c>
      <c r="U80" s="17" t="s">
        <v>19</v>
      </c>
      <c r="V80" s="20">
        <v>59</v>
      </c>
    </row>
    <row r="81" spans="2:22" ht="15.75" thickBot="1" x14ac:dyDescent="0.25">
      <c r="B81" s="15">
        <v>158</v>
      </c>
      <c r="C81" s="16" t="s">
        <v>342</v>
      </c>
      <c r="D81" s="17" t="s">
        <v>273</v>
      </c>
      <c r="E81" s="18">
        <v>0.4513888888888889</v>
      </c>
      <c r="F81" s="18">
        <v>1.1388888888888889E-2</v>
      </c>
      <c r="G81" s="19">
        <v>146</v>
      </c>
      <c r="H81" s="18">
        <v>1.4120370370370369E-3</v>
      </c>
      <c r="I81" s="19">
        <v>110</v>
      </c>
      <c r="J81" s="18">
        <v>2.5844907407407407E-2</v>
      </c>
      <c r="K81" s="19">
        <v>104</v>
      </c>
      <c r="L81" s="18">
        <v>9.7222222222222219E-4</v>
      </c>
      <c r="M81" s="19">
        <v>27</v>
      </c>
      <c r="N81" s="18">
        <v>1.3472222222222222E-2</v>
      </c>
      <c r="O81" s="19">
        <v>30</v>
      </c>
      <c r="P81" s="18">
        <v>5.3101851851851851E-2</v>
      </c>
      <c r="Q81" s="19">
        <v>79</v>
      </c>
      <c r="R81" s="17">
        <v>79</v>
      </c>
      <c r="S81" s="17">
        <v>20</v>
      </c>
      <c r="T81" s="17">
        <v>43</v>
      </c>
      <c r="U81" s="17" t="s">
        <v>19</v>
      </c>
      <c r="V81" s="20">
        <v>60</v>
      </c>
    </row>
    <row r="82" spans="2:22" ht="15.75" thickBot="1" x14ac:dyDescent="0.25">
      <c r="B82" s="15">
        <v>83</v>
      </c>
      <c r="C82" s="16" t="s">
        <v>98</v>
      </c>
      <c r="D82" s="17" t="s">
        <v>99</v>
      </c>
      <c r="E82" s="18">
        <v>0.4513888888888889</v>
      </c>
      <c r="F82" s="18">
        <v>1.0983796296296297E-2</v>
      </c>
      <c r="G82" s="19">
        <v>126</v>
      </c>
      <c r="H82" s="18">
        <v>1.2268518518518518E-3</v>
      </c>
      <c r="I82" s="19">
        <v>85</v>
      </c>
      <c r="J82" s="18">
        <v>2.4085648148148148E-2</v>
      </c>
      <c r="K82" s="19">
        <v>55</v>
      </c>
      <c r="L82" s="18">
        <v>1.3310185185185185E-3</v>
      </c>
      <c r="M82" s="19">
        <v>109</v>
      </c>
      <c r="N82" s="18">
        <v>1.5717592592592592E-2</v>
      </c>
      <c r="O82" s="19">
        <v>104</v>
      </c>
      <c r="P82" s="18">
        <v>5.3368055555555557E-2</v>
      </c>
      <c r="Q82" s="19">
        <v>80</v>
      </c>
      <c r="R82" s="17">
        <v>80</v>
      </c>
      <c r="S82" s="17">
        <v>19</v>
      </c>
      <c r="T82" s="17">
        <v>17</v>
      </c>
      <c r="U82" s="17" t="s">
        <v>19</v>
      </c>
      <c r="V82" s="20">
        <v>61</v>
      </c>
    </row>
    <row r="83" spans="2:22" ht="15.75" thickBot="1" x14ac:dyDescent="0.25">
      <c r="B83" s="15">
        <v>642</v>
      </c>
      <c r="C83" s="16" t="s">
        <v>57</v>
      </c>
      <c r="D83" s="17" t="s">
        <v>343</v>
      </c>
      <c r="E83" s="18">
        <v>0.45833333333333331</v>
      </c>
      <c r="F83" s="18">
        <v>9.2708333333333341E-3</v>
      </c>
      <c r="G83" s="19">
        <v>44</v>
      </c>
      <c r="H83" s="18">
        <v>1.261574074074074E-3</v>
      </c>
      <c r="I83" s="19">
        <v>91</v>
      </c>
      <c r="J83" s="18">
        <v>2.5567129629629631E-2</v>
      </c>
      <c r="K83" s="19">
        <v>93</v>
      </c>
      <c r="L83" s="18">
        <v>1.261574074074074E-3</v>
      </c>
      <c r="M83" s="19">
        <v>94</v>
      </c>
      <c r="N83" s="18">
        <v>1.6006944444444445E-2</v>
      </c>
      <c r="O83" s="19">
        <v>110</v>
      </c>
      <c r="P83" s="18">
        <v>5.3391203703703705E-2</v>
      </c>
      <c r="Q83" s="19">
        <v>81</v>
      </c>
      <c r="R83" s="17">
        <v>81</v>
      </c>
      <c r="S83" s="17">
        <v>21</v>
      </c>
      <c r="T83" s="17">
        <v>14</v>
      </c>
      <c r="U83" s="17" t="s">
        <v>36</v>
      </c>
      <c r="V83" s="20">
        <v>20</v>
      </c>
    </row>
    <row r="84" spans="2:22" ht="15.75" thickBot="1" x14ac:dyDescent="0.25">
      <c r="B84" s="15">
        <v>82</v>
      </c>
      <c r="C84" s="16" t="s">
        <v>344</v>
      </c>
      <c r="D84" s="17" t="s">
        <v>64</v>
      </c>
      <c r="E84" s="18">
        <v>0.4513888888888889</v>
      </c>
      <c r="F84" s="18">
        <v>1.1782407407407408E-2</v>
      </c>
      <c r="G84" s="19">
        <v>160</v>
      </c>
      <c r="H84" s="18">
        <v>1.1111111111111111E-3</v>
      </c>
      <c r="I84" s="19">
        <v>65</v>
      </c>
      <c r="J84" s="18">
        <v>2.4467592592592593E-2</v>
      </c>
      <c r="K84" s="19">
        <v>65</v>
      </c>
      <c r="L84" s="18">
        <v>1.8055555555555555E-3</v>
      </c>
      <c r="M84" s="19">
        <v>176</v>
      </c>
      <c r="N84" s="18">
        <v>1.4317129629629629E-2</v>
      </c>
      <c r="O84" s="19">
        <v>54</v>
      </c>
      <c r="P84" s="18">
        <v>5.3506944444444447E-2</v>
      </c>
      <c r="Q84" s="19">
        <v>82</v>
      </c>
      <c r="R84" s="17">
        <v>82</v>
      </c>
      <c r="S84" s="17">
        <v>25</v>
      </c>
      <c r="T84" s="17">
        <v>2</v>
      </c>
      <c r="U84" s="17" t="s">
        <v>19</v>
      </c>
      <c r="V84" s="20">
        <v>62</v>
      </c>
    </row>
    <row r="85" spans="2:22" ht="15.75" thickBot="1" x14ac:dyDescent="0.25">
      <c r="B85" s="15">
        <v>302</v>
      </c>
      <c r="C85" s="16" t="s">
        <v>345</v>
      </c>
      <c r="D85" s="17" t="s">
        <v>77</v>
      </c>
      <c r="E85" s="18">
        <v>0.45833333333333331</v>
      </c>
      <c r="F85" s="18">
        <v>1.0960648148148148E-2</v>
      </c>
      <c r="G85" s="19">
        <v>123</v>
      </c>
      <c r="H85" s="18">
        <v>1.2037037037037038E-3</v>
      </c>
      <c r="I85" s="19">
        <v>78</v>
      </c>
      <c r="J85" s="18">
        <v>2.4918981481481483E-2</v>
      </c>
      <c r="K85" s="19">
        <v>76</v>
      </c>
      <c r="L85" s="18">
        <v>1.3310185185185185E-3</v>
      </c>
      <c r="M85" s="19">
        <v>110</v>
      </c>
      <c r="N85" s="18">
        <v>1.5150462962962963E-2</v>
      </c>
      <c r="O85" s="19">
        <v>81</v>
      </c>
      <c r="P85" s="18">
        <v>5.3576388888888889E-2</v>
      </c>
      <c r="Q85" s="19">
        <v>83</v>
      </c>
      <c r="R85" s="17">
        <v>83</v>
      </c>
      <c r="S85" s="17">
        <v>26</v>
      </c>
      <c r="T85" s="17">
        <v>2</v>
      </c>
      <c r="U85" s="17" t="s">
        <v>36</v>
      </c>
      <c r="V85" s="20">
        <v>21</v>
      </c>
    </row>
    <row r="86" spans="2:22" ht="15.75" thickBot="1" x14ac:dyDescent="0.25">
      <c r="B86" s="15">
        <v>297</v>
      </c>
      <c r="C86" s="16" t="s">
        <v>346</v>
      </c>
      <c r="D86" s="17" t="s">
        <v>40</v>
      </c>
      <c r="E86" s="18">
        <v>0.4513888888888889</v>
      </c>
      <c r="F86" s="18">
        <v>1.1423611111111112E-2</v>
      </c>
      <c r="G86" s="19">
        <v>149</v>
      </c>
      <c r="H86" s="18">
        <v>1.0995370370370371E-3</v>
      </c>
      <c r="I86" s="19">
        <v>62</v>
      </c>
      <c r="J86" s="18">
        <v>2.2395833333333334E-2</v>
      </c>
      <c r="K86" s="19">
        <v>21</v>
      </c>
      <c r="L86" s="18">
        <v>9.9537037037037042E-4</v>
      </c>
      <c r="M86" s="19">
        <v>32</v>
      </c>
      <c r="N86" s="18">
        <v>1.7662037037037039E-2</v>
      </c>
      <c r="O86" s="19">
        <v>157</v>
      </c>
      <c r="P86" s="18">
        <v>5.3611111111111109E-2</v>
      </c>
      <c r="Q86" s="19">
        <v>84</v>
      </c>
      <c r="R86" s="17">
        <v>84</v>
      </c>
      <c r="S86" s="17">
        <v>26</v>
      </c>
      <c r="T86" s="17">
        <v>3</v>
      </c>
      <c r="U86" s="17" t="s">
        <v>19</v>
      </c>
      <c r="V86" s="20">
        <v>63</v>
      </c>
    </row>
    <row r="87" spans="2:22" ht="15.75" thickBot="1" x14ac:dyDescent="0.25">
      <c r="B87" s="15">
        <v>275</v>
      </c>
      <c r="C87" s="16" t="s">
        <v>347</v>
      </c>
      <c r="D87" s="17" t="s">
        <v>77</v>
      </c>
      <c r="E87" s="18">
        <v>0.45833333333333331</v>
      </c>
      <c r="F87" s="18">
        <v>9.0856481481481483E-3</v>
      </c>
      <c r="G87" s="19">
        <v>31</v>
      </c>
      <c r="H87" s="18">
        <v>1.25E-3</v>
      </c>
      <c r="I87" s="19">
        <v>86</v>
      </c>
      <c r="J87" s="18">
        <v>2.8287037037037038E-2</v>
      </c>
      <c r="K87" s="19">
        <v>161</v>
      </c>
      <c r="L87" s="18">
        <v>9.0277777777777774E-4</v>
      </c>
      <c r="M87" s="19">
        <v>18</v>
      </c>
      <c r="N87" s="18">
        <v>1.4074074074074074E-2</v>
      </c>
      <c r="O87" s="19">
        <v>42</v>
      </c>
      <c r="P87" s="18">
        <v>5.3634259259259257E-2</v>
      </c>
      <c r="Q87" s="19">
        <v>85</v>
      </c>
      <c r="R87" s="17">
        <v>85</v>
      </c>
      <c r="S87" s="17">
        <v>20</v>
      </c>
      <c r="T87" s="17">
        <v>15</v>
      </c>
      <c r="U87" s="17" t="s">
        <v>36</v>
      </c>
      <c r="V87" s="20">
        <v>22</v>
      </c>
    </row>
    <row r="88" spans="2:22" ht="15.75" thickBot="1" x14ac:dyDescent="0.25">
      <c r="B88" s="15">
        <v>189</v>
      </c>
      <c r="C88" s="16" t="s">
        <v>348</v>
      </c>
      <c r="D88" s="17" t="s">
        <v>77</v>
      </c>
      <c r="E88" s="18">
        <v>0.45833333333333331</v>
      </c>
      <c r="F88" s="18">
        <v>9.0972222222222218E-3</v>
      </c>
      <c r="G88" s="19">
        <v>33</v>
      </c>
      <c r="H88" s="18">
        <v>1.2268518518518518E-3</v>
      </c>
      <c r="I88" s="19">
        <v>82</v>
      </c>
      <c r="J88" s="18">
        <v>2.673611111111111E-2</v>
      </c>
      <c r="K88" s="19">
        <v>129</v>
      </c>
      <c r="L88" s="18">
        <v>1.3657407407407407E-3</v>
      </c>
      <c r="M88" s="19">
        <v>119</v>
      </c>
      <c r="N88" s="18">
        <v>1.5324074074074073E-2</v>
      </c>
      <c r="O88" s="19">
        <v>89</v>
      </c>
      <c r="P88" s="18">
        <v>5.3773148148148146E-2</v>
      </c>
      <c r="Q88" s="19">
        <v>86</v>
      </c>
      <c r="R88" s="17">
        <v>86</v>
      </c>
      <c r="S88" s="17">
        <v>18</v>
      </c>
      <c r="T88" s="17">
        <v>5</v>
      </c>
      <c r="U88" s="17" t="s">
        <v>36</v>
      </c>
      <c r="V88" s="20">
        <v>23</v>
      </c>
    </row>
    <row r="89" spans="2:22" ht="15.75" thickBot="1" x14ac:dyDescent="0.25">
      <c r="B89" s="15">
        <v>79</v>
      </c>
      <c r="C89" s="16" t="s">
        <v>349</v>
      </c>
      <c r="D89" s="17" t="s">
        <v>350</v>
      </c>
      <c r="E89" s="18">
        <v>0.45833333333333331</v>
      </c>
      <c r="F89" s="18">
        <v>1.0046296296296296E-2</v>
      </c>
      <c r="G89" s="19">
        <v>82</v>
      </c>
      <c r="H89" s="18">
        <v>1.0416666666666667E-3</v>
      </c>
      <c r="I89" s="19">
        <v>53</v>
      </c>
      <c r="J89" s="18">
        <v>2.5925925925925925E-2</v>
      </c>
      <c r="K89" s="19">
        <v>107</v>
      </c>
      <c r="L89" s="18">
        <v>1.3078703703703703E-3</v>
      </c>
      <c r="M89" s="19">
        <v>104</v>
      </c>
      <c r="N89" s="18">
        <v>1.5486111111111112E-2</v>
      </c>
      <c r="O89" s="19">
        <v>97</v>
      </c>
      <c r="P89" s="18">
        <v>5.3819444444444448E-2</v>
      </c>
      <c r="Q89" s="19">
        <v>87</v>
      </c>
      <c r="R89" s="17">
        <v>87</v>
      </c>
      <c r="S89" s="17">
        <v>20</v>
      </c>
      <c r="T89" s="17">
        <v>16</v>
      </c>
      <c r="U89" s="17" t="s">
        <v>36</v>
      </c>
      <c r="V89" s="20">
        <v>24</v>
      </c>
    </row>
    <row r="90" spans="2:22" ht="15.75" thickBot="1" x14ac:dyDescent="0.25">
      <c r="B90" s="15">
        <v>277</v>
      </c>
      <c r="C90" s="16" t="s">
        <v>351</v>
      </c>
      <c r="D90" s="17" t="s">
        <v>77</v>
      </c>
      <c r="E90" s="18">
        <v>0.4513888888888889</v>
      </c>
      <c r="F90" s="18">
        <v>1.1423611111111112E-2</v>
      </c>
      <c r="G90" s="19">
        <v>150</v>
      </c>
      <c r="H90" s="18">
        <v>0</v>
      </c>
      <c r="I90" s="19"/>
      <c r="J90" s="18">
        <v>2.7731481481481482E-2</v>
      </c>
      <c r="K90" s="19">
        <v>152</v>
      </c>
      <c r="L90" s="18">
        <v>1.1458333333333333E-3</v>
      </c>
      <c r="M90" s="19">
        <v>60</v>
      </c>
      <c r="N90" s="18">
        <v>1.4282407407407407E-2</v>
      </c>
      <c r="O90" s="19">
        <v>52</v>
      </c>
      <c r="P90" s="18">
        <v>5.3912037037037036E-2</v>
      </c>
      <c r="Q90" s="19">
        <v>88</v>
      </c>
      <c r="R90" s="17">
        <v>88</v>
      </c>
      <c r="S90" s="17">
        <v>19</v>
      </c>
      <c r="T90" s="17">
        <v>18</v>
      </c>
      <c r="U90" s="17" t="s">
        <v>19</v>
      </c>
      <c r="V90" s="20">
        <v>64</v>
      </c>
    </row>
    <row r="91" spans="2:22" ht="15.75" thickBot="1" x14ac:dyDescent="0.25">
      <c r="B91" s="15">
        <v>76</v>
      </c>
      <c r="C91" s="16" t="s">
        <v>352</v>
      </c>
      <c r="D91" s="17" t="s">
        <v>40</v>
      </c>
      <c r="E91" s="18">
        <v>0.4513888888888889</v>
      </c>
      <c r="F91" s="18">
        <v>1.1400462962962963E-2</v>
      </c>
      <c r="G91" s="19">
        <v>147</v>
      </c>
      <c r="H91" s="18">
        <v>1.0532407407407407E-3</v>
      </c>
      <c r="I91" s="19">
        <v>57</v>
      </c>
      <c r="J91" s="18">
        <v>2.4791666666666667E-2</v>
      </c>
      <c r="K91" s="19">
        <v>74</v>
      </c>
      <c r="L91" s="18">
        <v>8.4490740740740739E-4</v>
      </c>
      <c r="M91" s="19">
        <v>4</v>
      </c>
      <c r="N91" s="18">
        <v>1.5810185185185184E-2</v>
      </c>
      <c r="O91" s="19">
        <v>106</v>
      </c>
      <c r="P91" s="18">
        <v>5.3912037037037036E-2</v>
      </c>
      <c r="Q91" s="19">
        <v>89</v>
      </c>
      <c r="R91" s="17">
        <v>89</v>
      </c>
      <c r="S91" s="17">
        <v>24</v>
      </c>
      <c r="T91" s="17">
        <v>44</v>
      </c>
      <c r="U91" s="17" t="s">
        <v>19</v>
      </c>
      <c r="V91" s="20">
        <v>65</v>
      </c>
    </row>
    <row r="92" spans="2:22" ht="15.75" thickBot="1" x14ac:dyDescent="0.25">
      <c r="B92" s="15">
        <v>296</v>
      </c>
      <c r="C92" s="16" t="s">
        <v>353</v>
      </c>
      <c r="D92" s="17" t="s">
        <v>354</v>
      </c>
      <c r="E92" s="18">
        <v>0.45833333333333331</v>
      </c>
      <c r="F92" s="18">
        <v>1.0138888888888888E-2</v>
      </c>
      <c r="G92" s="19">
        <v>85</v>
      </c>
      <c r="H92" s="18">
        <v>1.7013888888888888E-3</v>
      </c>
      <c r="I92" s="19">
        <v>146</v>
      </c>
      <c r="J92" s="18">
        <v>2.5150462962962961E-2</v>
      </c>
      <c r="K92" s="19">
        <v>84</v>
      </c>
      <c r="L92" s="18">
        <v>1.4236111111111112E-3</v>
      </c>
      <c r="M92" s="19">
        <v>129</v>
      </c>
      <c r="N92" s="18">
        <v>1.5578703703703704E-2</v>
      </c>
      <c r="O92" s="19">
        <v>101</v>
      </c>
      <c r="P92" s="18">
        <v>5.4016203703703705E-2</v>
      </c>
      <c r="Q92" s="19">
        <v>90</v>
      </c>
      <c r="R92" s="17">
        <v>90</v>
      </c>
      <c r="S92" s="17">
        <v>18</v>
      </c>
      <c r="T92" s="17">
        <v>6</v>
      </c>
      <c r="U92" s="17" t="s">
        <v>36</v>
      </c>
      <c r="V92" s="20">
        <v>25</v>
      </c>
    </row>
    <row r="93" spans="2:22" ht="15.75" thickBot="1" x14ac:dyDescent="0.25">
      <c r="B93" s="15">
        <v>569</v>
      </c>
      <c r="C93" s="16" t="s">
        <v>357</v>
      </c>
      <c r="D93" s="17" t="s">
        <v>54</v>
      </c>
      <c r="E93" s="18">
        <v>0.4513888888888889</v>
      </c>
      <c r="F93" s="18">
        <v>1.2233796296296296E-2</v>
      </c>
      <c r="G93" s="19">
        <v>172</v>
      </c>
      <c r="H93" s="18">
        <v>1.3194444444444445E-3</v>
      </c>
      <c r="I93" s="19">
        <v>95</v>
      </c>
      <c r="J93" s="18">
        <v>2.4537037037037038E-2</v>
      </c>
      <c r="K93" s="19">
        <v>68</v>
      </c>
      <c r="L93" s="18">
        <v>1.8171296296296297E-3</v>
      </c>
      <c r="M93" s="19">
        <v>180</v>
      </c>
      <c r="N93" s="18">
        <v>1.4212962962962964E-2</v>
      </c>
      <c r="O93" s="19">
        <v>48</v>
      </c>
      <c r="P93" s="18">
        <v>5.4143518518518521E-2</v>
      </c>
      <c r="Q93" s="19">
        <v>91</v>
      </c>
      <c r="R93" s="17">
        <v>92</v>
      </c>
      <c r="S93" s="17">
        <v>21</v>
      </c>
      <c r="T93" s="17">
        <v>45</v>
      </c>
      <c r="U93" s="17" t="s">
        <v>19</v>
      </c>
      <c r="V93" s="20">
        <v>66</v>
      </c>
    </row>
    <row r="94" spans="2:22" ht="15.75" thickBot="1" x14ac:dyDescent="0.25">
      <c r="B94" s="15">
        <v>89</v>
      </c>
      <c r="C94" s="16" t="s">
        <v>355</v>
      </c>
      <c r="D94" s="17" t="s">
        <v>356</v>
      </c>
      <c r="E94" s="18">
        <v>0.45833333333333331</v>
      </c>
      <c r="F94" s="18">
        <v>1.0960648148148148E-2</v>
      </c>
      <c r="G94" s="19">
        <v>124</v>
      </c>
      <c r="H94" s="18">
        <v>1.25E-3</v>
      </c>
      <c r="I94" s="19">
        <v>87</v>
      </c>
      <c r="J94" s="18">
        <v>2.4918981481481483E-2</v>
      </c>
      <c r="K94" s="19">
        <v>77</v>
      </c>
      <c r="L94" s="18">
        <v>1.6435185185185185E-3</v>
      </c>
      <c r="M94" s="19">
        <v>163</v>
      </c>
      <c r="N94" s="18">
        <v>1.5335648148148149E-2</v>
      </c>
      <c r="O94" s="19">
        <v>90</v>
      </c>
      <c r="P94" s="18">
        <v>5.4143518518518521E-2</v>
      </c>
      <c r="Q94" s="19">
        <v>92</v>
      </c>
      <c r="R94" s="17">
        <v>91</v>
      </c>
      <c r="S94" s="17">
        <v>18</v>
      </c>
      <c r="T94" s="17">
        <v>7</v>
      </c>
      <c r="U94" s="17" t="s">
        <v>36</v>
      </c>
      <c r="V94" s="20">
        <v>26</v>
      </c>
    </row>
    <row r="95" spans="2:22" ht="15.75" thickBot="1" x14ac:dyDescent="0.25">
      <c r="B95" s="15">
        <v>649</v>
      </c>
      <c r="C95" s="16" t="s">
        <v>137</v>
      </c>
      <c r="D95" s="17" t="s">
        <v>27</v>
      </c>
      <c r="E95" s="18">
        <v>0.45833333333333331</v>
      </c>
      <c r="F95" s="18">
        <v>0</v>
      </c>
      <c r="G95" s="19"/>
      <c r="H95" s="18">
        <v>0</v>
      </c>
      <c r="I95" s="19"/>
      <c r="J95" s="18">
        <v>0</v>
      </c>
      <c r="K95" s="19"/>
      <c r="L95" s="18">
        <v>0</v>
      </c>
      <c r="M95" s="19"/>
      <c r="N95" s="18">
        <v>5.4155092592592595E-2</v>
      </c>
      <c r="O95" s="19">
        <v>198</v>
      </c>
      <c r="P95" s="18">
        <v>5.4155092592592595E-2</v>
      </c>
      <c r="Q95" s="19">
        <v>93</v>
      </c>
      <c r="R95" s="17">
        <v>93</v>
      </c>
      <c r="S95" s="17">
        <v>20</v>
      </c>
      <c r="T95" s="17">
        <v>17</v>
      </c>
      <c r="U95" s="17" t="s">
        <v>36</v>
      </c>
      <c r="V95" s="20">
        <v>27</v>
      </c>
    </row>
    <row r="96" spans="2:22" ht="15.75" thickBot="1" x14ac:dyDescent="0.25">
      <c r="B96" s="15">
        <v>143</v>
      </c>
      <c r="C96" s="16" t="s">
        <v>358</v>
      </c>
      <c r="D96" s="17" t="s">
        <v>45</v>
      </c>
      <c r="E96" s="18">
        <v>0.45833333333333331</v>
      </c>
      <c r="F96" s="18">
        <v>1.0231481481481482E-2</v>
      </c>
      <c r="G96" s="19">
        <v>87</v>
      </c>
      <c r="H96" s="18">
        <v>8.6805555555555551E-4</v>
      </c>
      <c r="I96" s="19">
        <v>42</v>
      </c>
      <c r="J96" s="18">
        <v>2.417824074074074E-2</v>
      </c>
      <c r="K96" s="19">
        <v>58</v>
      </c>
      <c r="L96" s="18">
        <v>1.0879629629629629E-3</v>
      </c>
      <c r="M96" s="19">
        <v>44</v>
      </c>
      <c r="N96" s="18">
        <v>1.7766203703703704E-2</v>
      </c>
      <c r="O96" s="19">
        <v>159</v>
      </c>
      <c r="P96" s="18">
        <v>5.4166666666666669E-2</v>
      </c>
      <c r="Q96" s="19">
        <v>94</v>
      </c>
      <c r="R96" s="17">
        <v>94</v>
      </c>
      <c r="S96" s="17">
        <v>21</v>
      </c>
      <c r="T96" s="17">
        <v>18</v>
      </c>
      <c r="U96" s="17" t="s">
        <v>36</v>
      </c>
      <c r="V96" s="20">
        <v>28</v>
      </c>
    </row>
    <row r="97" spans="2:22" ht="15.75" thickBot="1" x14ac:dyDescent="0.25">
      <c r="B97" s="15">
        <v>304</v>
      </c>
      <c r="C97" s="16" t="s">
        <v>359</v>
      </c>
      <c r="D97" s="17" t="s">
        <v>77</v>
      </c>
      <c r="E97" s="18">
        <v>0.45833333333333331</v>
      </c>
      <c r="F97" s="18">
        <v>1.0254629629629629E-2</v>
      </c>
      <c r="G97" s="19">
        <v>89</v>
      </c>
      <c r="H97" s="18">
        <v>9.0277777777777774E-4</v>
      </c>
      <c r="I97" s="19">
        <v>43</v>
      </c>
      <c r="J97" s="18">
        <v>2.2731481481481481E-2</v>
      </c>
      <c r="K97" s="19">
        <v>27</v>
      </c>
      <c r="L97" s="18">
        <v>1.2962962962962963E-3</v>
      </c>
      <c r="M97" s="19">
        <v>98</v>
      </c>
      <c r="N97" s="18">
        <v>1.9004629629629628E-2</v>
      </c>
      <c r="O97" s="19">
        <v>179</v>
      </c>
      <c r="P97" s="18">
        <v>5.4212962962962963E-2</v>
      </c>
      <c r="Q97" s="19">
        <v>95</v>
      </c>
      <c r="R97" s="17">
        <v>95</v>
      </c>
      <c r="S97" s="17">
        <v>26</v>
      </c>
      <c r="T97" s="17">
        <v>3</v>
      </c>
      <c r="U97" s="17" t="s">
        <v>36</v>
      </c>
      <c r="V97" s="20">
        <v>29</v>
      </c>
    </row>
    <row r="98" spans="2:22" ht="15.75" thickBot="1" x14ac:dyDescent="0.25">
      <c r="B98" s="15">
        <v>171</v>
      </c>
      <c r="C98" s="16" t="s">
        <v>360</v>
      </c>
      <c r="D98" s="17" t="s">
        <v>273</v>
      </c>
      <c r="E98" s="18">
        <v>0.4513888888888889</v>
      </c>
      <c r="F98" s="18">
        <v>1.1180555555555555E-2</v>
      </c>
      <c r="G98" s="19">
        <v>137</v>
      </c>
      <c r="H98" s="18">
        <v>1.7708333333333332E-3</v>
      </c>
      <c r="I98" s="19">
        <v>154</v>
      </c>
      <c r="J98" s="18">
        <v>2.2777777777777779E-2</v>
      </c>
      <c r="K98" s="19">
        <v>28</v>
      </c>
      <c r="L98" s="18">
        <v>1.6782407407407408E-3</v>
      </c>
      <c r="M98" s="19">
        <v>165</v>
      </c>
      <c r="N98" s="18">
        <v>1.6909722222222222E-2</v>
      </c>
      <c r="O98" s="19">
        <v>138</v>
      </c>
      <c r="P98" s="18">
        <v>5.4340277777777779E-2</v>
      </c>
      <c r="Q98" s="19">
        <v>96</v>
      </c>
      <c r="R98" s="17">
        <v>96</v>
      </c>
      <c r="S98" s="17">
        <v>20</v>
      </c>
      <c r="T98" s="17">
        <v>46</v>
      </c>
      <c r="U98" s="17" t="s">
        <v>19</v>
      </c>
      <c r="V98" s="20">
        <v>67</v>
      </c>
    </row>
    <row r="99" spans="2:22" ht="15.75" thickBot="1" x14ac:dyDescent="0.25">
      <c r="B99" s="15">
        <v>94</v>
      </c>
      <c r="C99" s="16" t="s">
        <v>361</v>
      </c>
      <c r="D99" s="17" t="s">
        <v>362</v>
      </c>
      <c r="E99" s="18">
        <v>0.4513888888888889</v>
      </c>
      <c r="F99" s="18">
        <v>1.2361111111111111E-2</v>
      </c>
      <c r="G99" s="19">
        <v>177</v>
      </c>
      <c r="H99" s="18">
        <v>1.7939814814814815E-3</v>
      </c>
      <c r="I99" s="19">
        <v>158</v>
      </c>
      <c r="J99" s="18">
        <v>2.613425925925926E-2</v>
      </c>
      <c r="K99" s="19">
        <v>113</v>
      </c>
      <c r="L99" s="18">
        <v>9.7222222222222219E-4</v>
      </c>
      <c r="M99" s="19">
        <v>28</v>
      </c>
      <c r="N99" s="18">
        <v>1.3518518518518518E-2</v>
      </c>
      <c r="O99" s="19">
        <v>32</v>
      </c>
      <c r="P99" s="18">
        <v>5.4803240740740743E-2</v>
      </c>
      <c r="Q99" s="19">
        <v>97</v>
      </c>
      <c r="R99" s="17">
        <v>97</v>
      </c>
      <c r="S99" s="17">
        <v>18</v>
      </c>
      <c r="T99" s="17">
        <v>19</v>
      </c>
      <c r="U99" s="17" t="s">
        <v>19</v>
      </c>
      <c r="V99" s="20">
        <v>68</v>
      </c>
    </row>
    <row r="100" spans="2:22" ht="15.75" thickBot="1" x14ac:dyDescent="0.25">
      <c r="B100" s="15">
        <v>225</v>
      </c>
      <c r="C100" s="16" t="s">
        <v>363</v>
      </c>
      <c r="D100" s="17" t="s">
        <v>45</v>
      </c>
      <c r="E100" s="18">
        <v>0.4513888888888889</v>
      </c>
      <c r="F100" s="18">
        <v>1.1168981481481481E-2</v>
      </c>
      <c r="G100" s="19">
        <v>136</v>
      </c>
      <c r="H100" s="18">
        <v>1.6203703703703703E-3</v>
      </c>
      <c r="I100" s="19">
        <v>132</v>
      </c>
      <c r="J100" s="18">
        <v>2.4594907407407409E-2</v>
      </c>
      <c r="K100" s="19">
        <v>69</v>
      </c>
      <c r="L100" s="18">
        <v>1.2847222222222223E-3</v>
      </c>
      <c r="M100" s="19">
        <v>96</v>
      </c>
      <c r="N100" s="18">
        <v>1.6666666666666666E-2</v>
      </c>
      <c r="O100" s="19">
        <v>128</v>
      </c>
      <c r="P100" s="18">
        <v>5.5358796296296295E-2</v>
      </c>
      <c r="Q100" s="19">
        <v>98</v>
      </c>
      <c r="R100" s="17">
        <v>98</v>
      </c>
      <c r="S100" s="17">
        <v>21</v>
      </c>
      <c r="T100" s="17">
        <v>47</v>
      </c>
      <c r="U100" s="17" t="s">
        <v>19</v>
      </c>
      <c r="V100" s="20">
        <v>69</v>
      </c>
    </row>
    <row r="101" spans="2:22" ht="15.75" thickBot="1" x14ac:dyDescent="0.25">
      <c r="B101" s="15">
        <v>110</v>
      </c>
      <c r="C101" s="16" t="s">
        <v>364</v>
      </c>
      <c r="D101" s="17" t="s">
        <v>365</v>
      </c>
      <c r="E101" s="18">
        <v>0.45833333333333331</v>
      </c>
      <c r="F101" s="18">
        <v>1.03125E-2</v>
      </c>
      <c r="G101" s="19">
        <v>95</v>
      </c>
      <c r="H101" s="18">
        <v>1.1226851851851851E-3</v>
      </c>
      <c r="I101" s="19">
        <v>67</v>
      </c>
      <c r="J101" s="18">
        <v>2.6319444444444444E-2</v>
      </c>
      <c r="K101" s="19">
        <v>118</v>
      </c>
      <c r="L101" s="18">
        <v>1.5393518518518519E-3</v>
      </c>
      <c r="M101" s="19">
        <v>149</v>
      </c>
      <c r="N101" s="18">
        <v>1.6099537037037037E-2</v>
      </c>
      <c r="O101" s="19">
        <v>114</v>
      </c>
      <c r="P101" s="18">
        <v>5.5405092592592596E-2</v>
      </c>
      <c r="Q101" s="19">
        <v>99</v>
      </c>
      <c r="R101" s="17">
        <v>99</v>
      </c>
      <c r="S101" s="17">
        <v>19</v>
      </c>
      <c r="T101" s="17">
        <v>8</v>
      </c>
      <c r="U101" s="17" t="s">
        <v>36</v>
      </c>
      <c r="V101" s="20">
        <v>30</v>
      </c>
    </row>
    <row r="102" spans="2:22" ht="15.75" thickBot="1" x14ac:dyDescent="0.25">
      <c r="B102" s="15">
        <v>318</v>
      </c>
      <c r="C102" s="16" t="s">
        <v>366</v>
      </c>
      <c r="D102" s="17" t="s">
        <v>77</v>
      </c>
      <c r="E102" s="18">
        <v>0.4513888888888889</v>
      </c>
      <c r="F102" s="18">
        <v>1.1261574074074075E-2</v>
      </c>
      <c r="G102" s="19">
        <v>141</v>
      </c>
      <c r="H102" s="18">
        <v>1.712962962962963E-3</v>
      </c>
      <c r="I102" s="19">
        <v>148</v>
      </c>
      <c r="J102" s="18">
        <v>2.5092592592592593E-2</v>
      </c>
      <c r="K102" s="19">
        <v>82</v>
      </c>
      <c r="L102" s="18">
        <v>2.476851851851852E-3</v>
      </c>
      <c r="M102" s="19">
        <v>192</v>
      </c>
      <c r="N102" s="18">
        <v>1.4884259259259259E-2</v>
      </c>
      <c r="O102" s="19">
        <v>72</v>
      </c>
      <c r="P102" s="18">
        <v>5.5439814814814817E-2</v>
      </c>
      <c r="Q102" s="19">
        <v>100</v>
      </c>
      <c r="R102" s="17">
        <v>100</v>
      </c>
      <c r="S102" s="17">
        <v>23</v>
      </c>
      <c r="T102" s="17">
        <v>48</v>
      </c>
      <c r="U102" s="17" t="s">
        <v>19</v>
      </c>
      <c r="V102" s="20">
        <v>70</v>
      </c>
    </row>
    <row r="103" spans="2:22" ht="15.75" thickBot="1" x14ac:dyDescent="0.25">
      <c r="B103" s="21">
        <v>238</v>
      </c>
      <c r="C103" s="22" t="s">
        <v>140</v>
      </c>
      <c r="D103" s="23" t="s">
        <v>120</v>
      </c>
      <c r="E103" s="24">
        <v>0.45833333333333331</v>
      </c>
      <c r="F103" s="24">
        <v>9.3981481481481485E-3</v>
      </c>
      <c r="G103" s="19">
        <v>49</v>
      </c>
      <c r="H103" s="24">
        <v>1.4467592592592592E-3</v>
      </c>
      <c r="I103" s="19">
        <v>114</v>
      </c>
      <c r="J103" s="24">
        <v>2.7800925925925927E-2</v>
      </c>
      <c r="K103" s="19">
        <v>156</v>
      </c>
      <c r="L103" s="24">
        <v>1.4351851851851852E-3</v>
      </c>
      <c r="M103" s="19">
        <v>133</v>
      </c>
      <c r="N103" s="24">
        <v>1.5358796296296296E-2</v>
      </c>
      <c r="O103" s="19">
        <v>91</v>
      </c>
      <c r="P103" s="24">
        <v>5.5462962962962964E-2</v>
      </c>
      <c r="Q103" s="19">
        <v>101</v>
      </c>
      <c r="R103" s="23">
        <v>101</v>
      </c>
      <c r="S103" s="23">
        <v>19</v>
      </c>
      <c r="T103" s="23">
        <v>9</v>
      </c>
      <c r="U103" s="23" t="s">
        <v>36</v>
      </c>
      <c r="V103" s="25">
        <v>31</v>
      </c>
    </row>
    <row r="104" spans="2:22" ht="15.75" thickBot="1" x14ac:dyDescent="0.25">
      <c r="B104" s="15">
        <v>125</v>
      </c>
      <c r="C104" s="16" t="s">
        <v>367</v>
      </c>
      <c r="D104" s="17" t="s">
        <v>368</v>
      </c>
      <c r="E104" s="18">
        <v>0.4513888888888889</v>
      </c>
      <c r="F104" s="18">
        <v>1.1967592592592592E-2</v>
      </c>
      <c r="G104" s="19">
        <v>163</v>
      </c>
      <c r="H104" s="18">
        <v>1.25E-3</v>
      </c>
      <c r="I104" s="19">
        <v>88</v>
      </c>
      <c r="J104" s="18">
        <v>2.6400462962962962E-2</v>
      </c>
      <c r="K104" s="19">
        <v>121</v>
      </c>
      <c r="L104" s="18">
        <v>1.5277777777777779E-3</v>
      </c>
      <c r="M104" s="19">
        <v>148</v>
      </c>
      <c r="N104" s="18">
        <v>1.4328703703703703E-2</v>
      </c>
      <c r="O104" s="19">
        <v>55</v>
      </c>
      <c r="P104" s="18">
        <v>5.5486111111111111E-2</v>
      </c>
      <c r="Q104" s="19">
        <v>102</v>
      </c>
      <c r="R104" s="17">
        <v>102</v>
      </c>
      <c r="S104" s="17">
        <v>20</v>
      </c>
      <c r="T104" s="17">
        <v>49</v>
      </c>
      <c r="U104" s="17" t="s">
        <v>19</v>
      </c>
      <c r="V104" s="20">
        <v>71</v>
      </c>
    </row>
    <row r="105" spans="2:22" ht="15.75" thickBot="1" x14ac:dyDescent="0.25">
      <c r="B105" s="15">
        <v>250</v>
      </c>
      <c r="C105" s="16" t="s">
        <v>369</v>
      </c>
      <c r="D105" s="17" t="s">
        <v>31</v>
      </c>
      <c r="E105" s="18">
        <v>0.45833333333333331</v>
      </c>
      <c r="F105" s="18">
        <v>9.8032407407407408E-3</v>
      </c>
      <c r="G105" s="19">
        <v>70</v>
      </c>
      <c r="H105" s="18">
        <v>1.4699074074074074E-3</v>
      </c>
      <c r="I105" s="19">
        <v>118</v>
      </c>
      <c r="J105" s="18">
        <v>2.5717592592592594E-2</v>
      </c>
      <c r="K105" s="19">
        <v>98</v>
      </c>
      <c r="L105" s="18">
        <v>1.3078703703703703E-3</v>
      </c>
      <c r="M105" s="19">
        <v>103</v>
      </c>
      <c r="N105" s="18">
        <v>1.7175925925925924E-2</v>
      </c>
      <c r="O105" s="19">
        <v>145</v>
      </c>
      <c r="P105" s="18">
        <v>5.5497685185185185E-2</v>
      </c>
      <c r="Q105" s="19">
        <v>103</v>
      </c>
      <c r="R105" s="17">
        <v>103</v>
      </c>
      <c r="S105" s="17">
        <v>19</v>
      </c>
      <c r="T105" s="17">
        <v>10</v>
      </c>
      <c r="U105" s="17" t="s">
        <v>36</v>
      </c>
      <c r="V105" s="20">
        <v>32</v>
      </c>
    </row>
    <row r="106" spans="2:22" ht="15.75" thickBot="1" x14ac:dyDescent="0.25">
      <c r="B106" s="15">
        <v>157</v>
      </c>
      <c r="C106" s="16" t="s">
        <v>370</v>
      </c>
      <c r="D106" s="17" t="s">
        <v>43</v>
      </c>
      <c r="E106" s="18">
        <v>0.45833333333333331</v>
      </c>
      <c r="F106" s="18">
        <v>1.119212962962963E-2</v>
      </c>
      <c r="G106" s="19">
        <v>138</v>
      </c>
      <c r="H106" s="18">
        <v>1.6898148148148148E-3</v>
      </c>
      <c r="I106" s="19">
        <v>142</v>
      </c>
      <c r="J106" s="18">
        <v>2.5752314814814815E-2</v>
      </c>
      <c r="K106" s="19">
        <v>102</v>
      </c>
      <c r="L106" s="18">
        <v>1.25E-3</v>
      </c>
      <c r="M106" s="19">
        <v>88</v>
      </c>
      <c r="N106" s="18">
        <v>1.5613425925925926E-2</v>
      </c>
      <c r="O106" s="19">
        <v>103</v>
      </c>
      <c r="P106" s="18">
        <v>5.5532407407407405E-2</v>
      </c>
      <c r="Q106" s="19">
        <v>104</v>
      </c>
      <c r="R106" s="17">
        <v>104</v>
      </c>
      <c r="S106" s="17">
        <v>24</v>
      </c>
      <c r="T106" s="17">
        <v>19</v>
      </c>
      <c r="U106" s="17" t="s">
        <v>36</v>
      </c>
      <c r="V106" s="20">
        <v>33</v>
      </c>
    </row>
    <row r="107" spans="2:22" ht="15.75" thickBot="1" x14ac:dyDescent="0.25">
      <c r="B107" s="15">
        <v>127</v>
      </c>
      <c r="C107" s="16" t="s">
        <v>371</v>
      </c>
      <c r="D107" s="17" t="s">
        <v>372</v>
      </c>
      <c r="E107" s="18">
        <v>0.4513888888888889</v>
      </c>
      <c r="F107" s="18">
        <v>1.0289351851851852E-2</v>
      </c>
      <c r="G107" s="19">
        <v>91</v>
      </c>
      <c r="H107" s="18">
        <v>1.8634259259259259E-3</v>
      </c>
      <c r="I107" s="19">
        <v>161</v>
      </c>
      <c r="J107" s="18">
        <v>2.6516203703703705E-2</v>
      </c>
      <c r="K107" s="19">
        <v>124</v>
      </c>
      <c r="L107" s="18">
        <v>1.4004629629629629E-3</v>
      </c>
      <c r="M107" s="19">
        <v>126</v>
      </c>
      <c r="N107" s="18">
        <v>1.5555555555555555E-2</v>
      </c>
      <c r="O107" s="19">
        <v>100</v>
      </c>
      <c r="P107" s="18">
        <v>5.5625000000000001E-2</v>
      </c>
      <c r="Q107" s="19">
        <v>105</v>
      </c>
      <c r="R107" s="17">
        <v>105</v>
      </c>
      <c r="S107" s="17">
        <v>21</v>
      </c>
      <c r="T107" s="17">
        <v>50</v>
      </c>
      <c r="U107" s="17" t="s">
        <v>19</v>
      </c>
      <c r="V107" s="20">
        <v>72</v>
      </c>
    </row>
    <row r="108" spans="2:22" ht="15.75" thickBot="1" x14ac:dyDescent="0.25">
      <c r="B108" s="15">
        <v>256</v>
      </c>
      <c r="C108" s="16" t="s">
        <v>373</v>
      </c>
      <c r="D108" s="17" t="s">
        <v>273</v>
      </c>
      <c r="E108" s="18">
        <v>0.45833333333333331</v>
      </c>
      <c r="F108" s="18">
        <v>1.1099537037037036E-2</v>
      </c>
      <c r="G108" s="19">
        <v>130</v>
      </c>
      <c r="H108" s="18">
        <v>1.3425925925925925E-3</v>
      </c>
      <c r="I108" s="19">
        <v>99</v>
      </c>
      <c r="J108" s="18">
        <v>2.6238425925925925E-2</v>
      </c>
      <c r="K108" s="19">
        <v>117</v>
      </c>
      <c r="L108" s="18">
        <v>1.1805555555555556E-3</v>
      </c>
      <c r="M108" s="19">
        <v>73</v>
      </c>
      <c r="N108" s="18">
        <v>1.5740740740740739E-2</v>
      </c>
      <c r="O108" s="19">
        <v>105</v>
      </c>
      <c r="P108" s="18">
        <v>5.5636574074074074E-2</v>
      </c>
      <c r="Q108" s="19">
        <v>106</v>
      </c>
      <c r="R108" s="17">
        <v>106</v>
      </c>
      <c r="S108" s="17">
        <v>21</v>
      </c>
      <c r="T108" s="17">
        <v>20</v>
      </c>
      <c r="U108" s="17" t="s">
        <v>36</v>
      </c>
      <c r="V108" s="20">
        <v>34</v>
      </c>
    </row>
    <row r="109" spans="2:22" ht="15.75" thickBot="1" x14ac:dyDescent="0.25">
      <c r="B109" s="15">
        <v>314</v>
      </c>
      <c r="C109" s="16" t="s">
        <v>374</v>
      </c>
      <c r="D109" s="17" t="s">
        <v>45</v>
      </c>
      <c r="E109" s="18">
        <v>0.4513888888888889</v>
      </c>
      <c r="F109" s="18">
        <v>1.2488425925925925E-2</v>
      </c>
      <c r="G109" s="19">
        <v>179</v>
      </c>
      <c r="H109" s="18">
        <v>1.6666666666666668E-3</v>
      </c>
      <c r="I109" s="19">
        <v>139</v>
      </c>
      <c r="J109" s="18">
        <v>2.5069444444444443E-2</v>
      </c>
      <c r="K109" s="19">
        <v>80</v>
      </c>
      <c r="L109" s="18">
        <v>1.7476851851851852E-3</v>
      </c>
      <c r="M109" s="19">
        <v>169</v>
      </c>
      <c r="N109" s="18">
        <v>1.4675925925925926E-2</v>
      </c>
      <c r="O109" s="19">
        <v>64</v>
      </c>
      <c r="P109" s="18">
        <v>5.5671296296296295E-2</v>
      </c>
      <c r="Q109" s="19">
        <v>107</v>
      </c>
      <c r="R109" s="17">
        <v>107</v>
      </c>
      <c r="S109" s="17">
        <v>20</v>
      </c>
      <c r="T109" s="17">
        <v>51</v>
      </c>
      <c r="U109" s="17" t="s">
        <v>19</v>
      </c>
      <c r="V109" s="20">
        <v>73</v>
      </c>
    </row>
    <row r="110" spans="2:22" ht="15.75" thickBot="1" x14ac:dyDescent="0.25">
      <c r="B110" s="15">
        <v>284</v>
      </c>
      <c r="C110" s="16" t="s">
        <v>376</v>
      </c>
      <c r="D110" s="17" t="s">
        <v>49</v>
      </c>
      <c r="E110" s="18">
        <v>0.4513888888888889</v>
      </c>
      <c r="F110" s="18">
        <v>1.1643518518518518E-2</v>
      </c>
      <c r="G110" s="19">
        <v>156</v>
      </c>
      <c r="H110" s="18">
        <v>1.2037037037037038E-3</v>
      </c>
      <c r="I110" s="19">
        <v>79</v>
      </c>
      <c r="J110" s="18">
        <v>2.537037037037037E-2</v>
      </c>
      <c r="K110" s="19">
        <v>90</v>
      </c>
      <c r="L110" s="18">
        <v>1.5162037037037036E-3</v>
      </c>
      <c r="M110" s="19">
        <v>143</v>
      </c>
      <c r="N110" s="18">
        <v>1.5949074074074074E-2</v>
      </c>
      <c r="O110" s="19">
        <v>108</v>
      </c>
      <c r="P110" s="18">
        <v>5.5694444444444442E-2</v>
      </c>
      <c r="Q110" s="19">
        <v>108</v>
      </c>
      <c r="R110" s="17">
        <v>109</v>
      </c>
      <c r="S110" s="17">
        <v>21</v>
      </c>
      <c r="T110" s="17">
        <v>52</v>
      </c>
      <c r="U110" s="17" t="s">
        <v>19</v>
      </c>
      <c r="V110" s="20">
        <v>74</v>
      </c>
    </row>
    <row r="111" spans="2:22" ht="15.75" thickBot="1" x14ac:dyDescent="0.25">
      <c r="B111" s="15">
        <v>112</v>
      </c>
      <c r="C111" s="16" t="s">
        <v>375</v>
      </c>
      <c r="D111" s="17" t="s">
        <v>146</v>
      </c>
      <c r="E111" s="18">
        <v>0.45833333333333331</v>
      </c>
      <c r="F111" s="18">
        <v>9.0740740740740747E-3</v>
      </c>
      <c r="G111" s="19">
        <v>30</v>
      </c>
      <c r="H111" s="18">
        <v>1.7013888888888888E-3</v>
      </c>
      <c r="I111" s="19">
        <v>145</v>
      </c>
      <c r="J111" s="18">
        <v>2.6747685185185187E-2</v>
      </c>
      <c r="K111" s="19">
        <v>130</v>
      </c>
      <c r="L111" s="18">
        <v>1.25E-3</v>
      </c>
      <c r="M111" s="19">
        <v>89</v>
      </c>
      <c r="N111" s="18">
        <v>1.6886574074074075E-2</v>
      </c>
      <c r="O111" s="19">
        <v>135</v>
      </c>
      <c r="P111" s="18">
        <v>5.5694444444444442E-2</v>
      </c>
      <c r="Q111" s="19">
        <v>109</v>
      </c>
      <c r="R111" s="17">
        <v>108</v>
      </c>
      <c r="S111" s="17">
        <v>21</v>
      </c>
      <c r="T111" s="17">
        <v>21</v>
      </c>
      <c r="U111" s="17" t="s">
        <v>36</v>
      </c>
      <c r="V111" s="20">
        <v>35</v>
      </c>
    </row>
    <row r="112" spans="2:22" ht="15.75" thickBot="1" x14ac:dyDescent="0.25">
      <c r="B112" s="15">
        <v>149</v>
      </c>
      <c r="C112" s="16" t="s">
        <v>377</v>
      </c>
      <c r="D112" s="17" t="s">
        <v>77</v>
      </c>
      <c r="E112" s="18">
        <v>0.45833333333333331</v>
      </c>
      <c r="F112" s="18">
        <v>8.773148148148148E-3</v>
      </c>
      <c r="G112" s="19">
        <v>20</v>
      </c>
      <c r="H112" s="18">
        <v>1.0532407407407407E-3</v>
      </c>
      <c r="I112" s="19">
        <v>55</v>
      </c>
      <c r="J112" s="18">
        <v>2.5925925925925925E-2</v>
      </c>
      <c r="K112" s="19">
        <v>108</v>
      </c>
      <c r="L112" s="18">
        <v>1.6087962962962963E-3</v>
      </c>
      <c r="M112" s="19">
        <v>156</v>
      </c>
      <c r="N112" s="18">
        <v>1.8333333333333333E-2</v>
      </c>
      <c r="O112" s="19">
        <v>172</v>
      </c>
      <c r="P112" s="18">
        <v>5.5706018518518516E-2</v>
      </c>
      <c r="Q112" s="19">
        <v>110</v>
      </c>
      <c r="R112" s="17">
        <v>110</v>
      </c>
      <c r="S112" s="17">
        <v>21</v>
      </c>
      <c r="T112" s="17">
        <v>22</v>
      </c>
      <c r="U112" s="17" t="s">
        <v>36</v>
      </c>
      <c r="V112" s="20">
        <v>36</v>
      </c>
    </row>
    <row r="113" spans="2:22" ht="15.75" thickBot="1" x14ac:dyDescent="0.25">
      <c r="B113" s="15">
        <v>105</v>
      </c>
      <c r="C113" s="16" t="s">
        <v>91</v>
      </c>
      <c r="D113" s="17" t="s">
        <v>133</v>
      </c>
      <c r="E113" s="18">
        <v>0.45833333333333331</v>
      </c>
      <c r="F113" s="18">
        <v>1.1666666666666667E-2</v>
      </c>
      <c r="G113" s="19">
        <v>158</v>
      </c>
      <c r="H113" s="18">
        <v>1.6898148148148148E-3</v>
      </c>
      <c r="I113" s="19">
        <v>143</v>
      </c>
      <c r="J113" s="18">
        <v>2.6030092592592594E-2</v>
      </c>
      <c r="K113" s="19">
        <v>109</v>
      </c>
      <c r="L113" s="18">
        <v>1.5625000000000001E-3</v>
      </c>
      <c r="M113" s="19">
        <v>154</v>
      </c>
      <c r="N113" s="18">
        <v>1.480324074074074E-2</v>
      </c>
      <c r="O113" s="19">
        <v>71</v>
      </c>
      <c r="P113" s="18">
        <v>5.5763888888888891E-2</v>
      </c>
      <c r="Q113" s="19">
        <v>111</v>
      </c>
      <c r="R113" s="17">
        <v>112</v>
      </c>
      <c r="S113" s="17">
        <v>20</v>
      </c>
      <c r="T113" s="17">
        <v>23</v>
      </c>
      <c r="U113" s="17" t="s">
        <v>36</v>
      </c>
      <c r="V113" s="20">
        <v>38</v>
      </c>
    </row>
    <row r="114" spans="2:22" ht="15.75" thickBot="1" x14ac:dyDescent="0.25">
      <c r="B114" s="15">
        <v>317</v>
      </c>
      <c r="C114" s="16" t="s">
        <v>378</v>
      </c>
      <c r="D114" s="17" t="s">
        <v>58</v>
      </c>
      <c r="E114" s="18">
        <v>0.45833333333333331</v>
      </c>
      <c r="F114" s="18">
        <v>9.6412037037037039E-3</v>
      </c>
      <c r="G114" s="19">
        <v>62</v>
      </c>
      <c r="H114" s="18">
        <v>1.2037037037037038E-3</v>
      </c>
      <c r="I114" s="19">
        <v>76</v>
      </c>
      <c r="J114" s="18">
        <v>2.7291666666666665E-2</v>
      </c>
      <c r="K114" s="19">
        <v>144</v>
      </c>
      <c r="L114" s="18">
        <v>9.9537037037037042E-4</v>
      </c>
      <c r="M114" s="19">
        <v>33</v>
      </c>
      <c r="N114" s="18">
        <v>1.6597222222222222E-2</v>
      </c>
      <c r="O114" s="19">
        <v>127</v>
      </c>
      <c r="P114" s="18">
        <v>5.5763888888888891E-2</v>
      </c>
      <c r="Q114" s="19">
        <v>112</v>
      </c>
      <c r="R114" s="17">
        <v>111</v>
      </c>
      <c r="S114" s="17">
        <v>19</v>
      </c>
      <c r="T114" s="17">
        <v>11</v>
      </c>
      <c r="U114" s="17" t="s">
        <v>36</v>
      </c>
      <c r="V114" s="20">
        <v>37</v>
      </c>
    </row>
    <row r="115" spans="2:22" ht="15.75" thickBot="1" x14ac:dyDescent="0.25">
      <c r="B115" s="15">
        <v>228</v>
      </c>
      <c r="C115" s="16" t="s">
        <v>379</v>
      </c>
      <c r="D115" s="17" t="s">
        <v>56</v>
      </c>
      <c r="E115" s="18">
        <v>0.4513888888888889</v>
      </c>
      <c r="F115" s="18">
        <v>1.2824074074074075E-2</v>
      </c>
      <c r="G115" s="19">
        <v>183</v>
      </c>
      <c r="H115" s="18">
        <v>1.8749999999999999E-3</v>
      </c>
      <c r="I115" s="19">
        <v>163</v>
      </c>
      <c r="J115" s="18">
        <v>2.6041666666666668E-2</v>
      </c>
      <c r="K115" s="19">
        <v>110</v>
      </c>
      <c r="L115" s="18">
        <v>1.1805555555555556E-3</v>
      </c>
      <c r="M115" s="19">
        <v>72</v>
      </c>
      <c r="N115" s="18">
        <v>1.3912037037037037E-2</v>
      </c>
      <c r="O115" s="19">
        <v>36</v>
      </c>
      <c r="P115" s="18">
        <v>5.5856481481481479E-2</v>
      </c>
      <c r="Q115" s="19">
        <v>113</v>
      </c>
      <c r="R115" s="17">
        <v>113</v>
      </c>
      <c r="S115" s="17">
        <v>20</v>
      </c>
      <c r="T115" s="17">
        <v>53</v>
      </c>
      <c r="U115" s="17" t="s">
        <v>19</v>
      </c>
      <c r="V115" s="20">
        <v>75</v>
      </c>
    </row>
    <row r="116" spans="2:22" ht="15.75" thickBot="1" x14ac:dyDescent="0.25">
      <c r="B116" s="15">
        <v>269</v>
      </c>
      <c r="C116" s="16" t="s">
        <v>380</v>
      </c>
      <c r="D116" s="17" t="s">
        <v>77</v>
      </c>
      <c r="E116" s="18">
        <v>0.4513888888888889</v>
      </c>
      <c r="F116" s="18">
        <v>1.0659722222222221E-2</v>
      </c>
      <c r="G116" s="19">
        <v>108</v>
      </c>
      <c r="H116" s="18">
        <v>1.6666666666666668E-3</v>
      </c>
      <c r="I116" s="19">
        <v>138</v>
      </c>
      <c r="J116" s="18">
        <v>2.585648148148148E-2</v>
      </c>
      <c r="K116" s="19">
        <v>105</v>
      </c>
      <c r="L116" s="18">
        <v>1.5625000000000001E-3</v>
      </c>
      <c r="M116" s="19">
        <v>153</v>
      </c>
      <c r="N116" s="18">
        <v>1.6192129629629629E-2</v>
      </c>
      <c r="O116" s="19">
        <v>116</v>
      </c>
      <c r="P116" s="18">
        <v>5.5960648148148148E-2</v>
      </c>
      <c r="Q116" s="19">
        <v>114</v>
      </c>
      <c r="R116" s="17">
        <v>114</v>
      </c>
      <c r="S116" s="17">
        <v>25</v>
      </c>
      <c r="T116" s="17">
        <v>4</v>
      </c>
      <c r="U116" s="17" t="s">
        <v>19</v>
      </c>
      <c r="V116" s="20">
        <v>76</v>
      </c>
    </row>
    <row r="117" spans="2:22" ht="15.75" thickBot="1" x14ac:dyDescent="0.25">
      <c r="B117" s="15">
        <v>281</v>
      </c>
      <c r="C117" s="16" t="s">
        <v>381</v>
      </c>
      <c r="D117" s="17" t="s">
        <v>167</v>
      </c>
      <c r="E117" s="18">
        <v>0.4513888888888889</v>
      </c>
      <c r="F117" s="18">
        <v>1.1076388888888889E-2</v>
      </c>
      <c r="G117" s="19">
        <v>129</v>
      </c>
      <c r="H117" s="18">
        <v>0</v>
      </c>
      <c r="I117" s="19"/>
      <c r="J117" s="18">
        <v>2.7743055555555556E-2</v>
      </c>
      <c r="K117" s="19">
        <v>154</v>
      </c>
      <c r="L117" s="18">
        <v>1.7708333333333332E-3</v>
      </c>
      <c r="M117" s="19">
        <v>174</v>
      </c>
      <c r="N117" s="18">
        <v>1.6122685185185184E-2</v>
      </c>
      <c r="O117" s="19">
        <v>115</v>
      </c>
      <c r="P117" s="18">
        <v>5.6041666666666663E-2</v>
      </c>
      <c r="Q117" s="19">
        <v>115</v>
      </c>
      <c r="R117" s="17">
        <v>115</v>
      </c>
      <c r="S117" s="17">
        <v>19</v>
      </c>
      <c r="T117" s="17">
        <v>20</v>
      </c>
      <c r="U117" s="17" t="s">
        <v>19</v>
      </c>
      <c r="V117" s="20">
        <v>77</v>
      </c>
    </row>
    <row r="118" spans="2:22" ht="15.75" thickBot="1" x14ac:dyDescent="0.25">
      <c r="B118" s="15">
        <v>215</v>
      </c>
      <c r="C118" s="16" t="s">
        <v>382</v>
      </c>
      <c r="D118" s="17" t="s">
        <v>383</v>
      </c>
      <c r="E118" s="18">
        <v>0.45833333333333331</v>
      </c>
      <c r="F118" s="18">
        <v>1.0972222222222222E-2</v>
      </c>
      <c r="G118" s="19">
        <v>125</v>
      </c>
      <c r="H118" s="18">
        <v>1.3425925925925925E-3</v>
      </c>
      <c r="I118" s="19">
        <v>98</v>
      </c>
      <c r="J118" s="18">
        <v>2.6701388888888889E-2</v>
      </c>
      <c r="K118" s="19">
        <v>128</v>
      </c>
      <c r="L118" s="18">
        <v>1.0416666666666667E-3</v>
      </c>
      <c r="M118" s="19">
        <v>40</v>
      </c>
      <c r="N118" s="18">
        <v>1.6030092592592592E-2</v>
      </c>
      <c r="O118" s="19">
        <v>111</v>
      </c>
      <c r="P118" s="18">
        <v>5.6111111111111112E-2</v>
      </c>
      <c r="Q118" s="19">
        <v>116</v>
      </c>
      <c r="R118" s="17">
        <v>116</v>
      </c>
      <c r="S118" s="17">
        <v>22</v>
      </c>
      <c r="T118" s="17">
        <v>24</v>
      </c>
      <c r="U118" s="17" t="s">
        <v>36</v>
      </c>
      <c r="V118" s="20">
        <v>39</v>
      </c>
    </row>
    <row r="119" spans="2:22" ht="15.75" thickBot="1" x14ac:dyDescent="0.25">
      <c r="B119" s="15">
        <v>207</v>
      </c>
      <c r="C119" s="16" t="s">
        <v>384</v>
      </c>
      <c r="D119" s="17" t="s">
        <v>77</v>
      </c>
      <c r="E119" s="18">
        <v>0.4513888888888889</v>
      </c>
      <c r="F119" s="18">
        <v>1.2476851851851852E-2</v>
      </c>
      <c r="G119" s="19">
        <v>178</v>
      </c>
      <c r="H119" s="18">
        <v>1.9212962962962964E-3</v>
      </c>
      <c r="I119" s="19">
        <v>167</v>
      </c>
      <c r="J119" s="18">
        <v>2.4594907407407409E-2</v>
      </c>
      <c r="K119" s="19">
        <v>70</v>
      </c>
      <c r="L119" s="18">
        <v>1.724537037037037E-3</v>
      </c>
      <c r="M119" s="19">
        <v>167</v>
      </c>
      <c r="N119" s="18">
        <v>1.5543981481481482E-2</v>
      </c>
      <c r="O119" s="19">
        <v>99</v>
      </c>
      <c r="P119" s="18">
        <v>5.6284722222222222E-2</v>
      </c>
      <c r="Q119" s="19">
        <v>117</v>
      </c>
      <c r="R119" s="17">
        <v>117</v>
      </c>
      <c r="S119" s="17">
        <v>24</v>
      </c>
      <c r="T119" s="17">
        <v>54</v>
      </c>
      <c r="U119" s="17" t="s">
        <v>19</v>
      </c>
      <c r="V119" s="20">
        <v>78</v>
      </c>
    </row>
    <row r="120" spans="2:22" ht="15.75" thickBot="1" x14ac:dyDescent="0.25">
      <c r="B120" s="15">
        <v>172</v>
      </c>
      <c r="C120" s="16" t="s">
        <v>157</v>
      </c>
      <c r="D120" s="17" t="s">
        <v>120</v>
      </c>
      <c r="E120" s="18">
        <v>0.45833333333333331</v>
      </c>
      <c r="F120" s="18">
        <v>9.2592592592592587E-3</v>
      </c>
      <c r="G120" s="19">
        <v>42</v>
      </c>
      <c r="H120" s="18">
        <v>1.261574074074074E-3</v>
      </c>
      <c r="I120" s="19">
        <v>90</v>
      </c>
      <c r="J120" s="18">
        <v>2.6643518518518518E-2</v>
      </c>
      <c r="K120" s="19">
        <v>126</v>
      </c>
      <c r="L120" s="18">
        <v>1.238425925925926E-3</v>
      </c>
      <c r="M120" s="19">
        <v>86</v>
      </c>
      <c r="N120" s="18">
        <v>1.7881944444444443E-2</v>
      </c>
      <c r="O120" s="19">
        <v>163</v>
      </c>
      <c r="P120" s="18">
        <v>5.6296296296296296E-2</v>
      </c>
      <c r="Q120" s="19">
        <v>118</v>
      </c>
      <c r="R120" s="17">
        <v>118</v>
      </c>
      <c r="S120" s="17">
        <v>18</v>
      </c>
      <c r="T120" s="17">
        <v>12</v>
      </c>
      <c r="U120" s="17" t="s">
        <v>36</v>
      </c>
      <c r="V120" s="20">
        <v>40</v>
      </c>
    </row>
    <row r="121" spans="2:22" ht="15.75" thickBot="1" x14ac:dyDescent="0.25">
      <c r="B121" s="15">
        <v>299</v>
      </c>
      <c r="C121" s="16" t="s">
        <v>385</v>
      </c>
      <c r="D121" s="17" t="s">
        <v>77</v>
      </c>
      <c r="E121" s="18">
        <v>0.45833333333333331</v>
      </c>
      <c r="F121" s="18">
        <v>1.2141203703703704E-2</v>
      </c>
      <c r="G121" s="19">
        <v>169</v>
      </c>
      <c r="H121" s="18">
        <v>1.2037037037037038E-3</v>
      </c>
      <c r="I121" s="19">
        <v>80</v>
      </c>
      <c r="J121" s="18">
        <v>2.5208333333333333E-2</v>
      </c>
      <c r="K121" s="19">
        <v>86</v>
      </c>
      <c r="L121" s="18">
        <v>1.4814814814814814E-3</v>
      </c>
      <c r="M121" s="19">
        <v>140</v>
      </c>
      <c r="N121" s="18">
        <v>1.6307870370370372E-2</v>
      </c>
      <c r="O121" s="19">
        <v>122</v>
      </c>
      <c r="P121" s="18">
        <v>5.6365740740740744E-2</v>
      </c>
      <c r="Q121" s="19">
        <v>119</v>
      </c>
      <c r="R121" s="17">
        <v>119</v>
      </c>
      <c r="S121" s="17">
        <v>22</v>
      </c>
      <c r="T121" s="17">
        <v>25</v>
      </c>
      <c r="U121" s="17" t="s">
        <v>36</v>
      </c>
      <c r="V121" s="20">
        <v>41</v>
      </c>
    </row>
    <row r="122" spans="2:22" ht="15.75" thickBot="1" x14ac:dyDescent="0.25">
      <c r="B122" s="15">
        <v>263</v>
      </c>
      <c r="C122" s="16" t="s">
        <v>386</v>
      </c>
      <c r="D122" s="17" t="s">
        <v>164</v>
      </c>
      <c r="E122" s="18">
        <v>0.45833333333333331</v>
      </c>
      <c r="F122" s="18">
        <v>1.0266203703703704E-2</v>
      </c>
      <c r="G122" s="19">
        <v>90</v>
      </c>
      <c r="H122" s="18">
        <v>1.6550925925925926E-3</v>
      </c>
      <c r="I122" s="19">
        <v>137</v>
      </c>
      <c r="J122" s="18">
        <v>2.6180555555555554E-2</v>
      </c>
      <c r="K122" s="19">
        <v>116</v>
      </c>
      <c r="L122" s="18">
        <v>1.3541666666666667E-3</v>
      </c>
      <c r="M122" s="19">
        <v>117</v>
      </c>
      <c r="N122" s="18">
        <v>1.699074074074074E-2</v>
      </c>
      <c r="O122" s="19">
        <v>142</v>
      </c>
      <c r="P122" s="18">
        <v>5.648148148148148E-2</v>
      </c>
      <c r="Q122" s="19">
        <v>120</v>
      </c>
      <c r="R122" s="17">
        <v>120</v>
      </c>
      <c r="S122" s="17">
        <v>21</v>
      </c>
      <c r="T122" s="17">
        <v>26</v>
      </c>
      <c r="U122" s="17" t="s">
        <v>36</v>
      </c>
      <c r="V122" s="20">
        <v>42</v>
      </c>
    </row>
    <row r="123" spans="2:22" ht="15.75" thickBot="1" x14ac:dyDescent="0.25">
      <c r="B123" s="15">
        <v>213</v>
      </c>
      <c r="C123" s="16" t="s">
        <v>387</v>
      </c>
      <c r="D123" s="17" t="s">
        <v>315</v>
      </c>
      <c r="E123" s="18">
        <v>0.4513888888888889</v>
      </c>
      <c r="F123" s="18">
        <v>1.2268518518518519E-2</v>
      </c>
      <c r="G123" s="19">
        <v>174</v>
      </c>
      <c r="H123" s="18">
        <v>1.6898148148148148E-3</v>
      </c>
      <c r="I123" s="19">
        <v>144</v>
      </c>
      <c r="J123" s="18">
        <v>2.6157407407407407E-2</v>
      </c>
      <c r="K123" s="19">
        <v>114</v>
      </c>
      <c r="L123" s="18">
        <v>1.3194444444444445E-3</v>
      </c>
      <c r="M123" s="19">
        <v>107</v>
      </c>
      <c r="N123" s="18">
        <v>1.5046296296296295E-2</v>
      </c>
      <c r="O123" s="19">
        <v>77</v>
      </c>
      <c r="P123" s="18">
        <v>5.6504629629629627E-2</v>
      </c>
      <c r="Q123" s="19">
        <v>121</v>
      </c>
      <c r="R123" s="17">
        <v>121</v>
      </c>
      <c r="S123" s="17">
        <v>19</v>
      </c>
      <c r="T123" s="17">
        <v>21</v>
      </c>
      <c r="U123" s="17" t="s">
        <v>19</v>
      </c>
      <c r="V123" s="20">
        <v>79</v>
      </c>
    </row>
    <row r="124" spans="2:22" ht="15.75" thickBot="1" x14ac:dyDescent="0.25">
      <c r="B124" s="15">
        <v>163</v>
      </c>
      <c r="C124" s="16" t="s">
        <v>388</v>
      </c>
      <c r="D124" s="17" t="s">
        <v>22</v>
      </c>
      <c r="E124" s="18">
        <v>0.45833333333333331</v>
      </c>
      <c r="F124" s="18">
        <v>9.7453703703703695E-3</v>
      </c>
      <c r="G124" s="19">
        <v>66</v>
      </c>
      <c r="H124" s="18">
        <v>1.2268518518518518E-3</v>
      </c>
      <c r="I124" s="19">
        <v>83</v>
      </c>
      <c r="J124" s="18">
        <v>2.6666666666666668E-2</v>
      </c>
      <c r="K124" s="19">
        <v>127</v>
      </c>
      <c r="L124" s="18">
        <v>1.3541666666666667E-3</v>
      </c>
      <c r="M124" s="19">
        <v>118</v>
      </c>
      <c r="N124" s="18">
        <v>1.7476851851851851E-2</v>
      </c>
      <c r="O124" s="19">
        <v>154</v>
      </c>
      <c r="P124" s="18">
        <v>5.65162037037037E-2</v>
      </c>
      <c r="Q124" s="19">
        <v>122</v>
      </c>
      <c r="R124" s="17">
        <v>122</v>
      </c>
      <c r="S124" s="17">
        <v>18</v>
      </c>
      <c r="T124" s="17">
        <v>13</v>
      </c>
      <c r="U124" s="17" t="s">
        <v>36</v>
      </c>
      <c r="V124" s="20">
        <v>43</v>
      </c>
    </row>
    <row r="125" spans="2:22" ht="15.75" thickBot="1" x14ac:dyDescent="0.25">
      <c r="B125" s="15">
        <v>312</v>
      </c>
      <c r="C125" s="16" t="s">
        <v>101</v>
      </c>
      <c r="D125" s="17" t="s">
        <v>389</v>
      </c>
      <c r="E125" s="18">
        <v>0.4513888888888889</v>
      </c>
      <c r="F125" s="18">
        <v>1.0694444444444444E-2</v>
      </c>
      <c r="G125" s="19">
        <v>110</v>
      </c>
      <c r="H125" s="18">
        <v>1.0532407407407407E-3</v>
      </c>
      <c r="I125" s="19">
        <v>56</v>
      </c>
      <c r="J125" s="18">
        <v>2.7303240740740739E-2</v>
      </c>
      <c r="K125" s="19">
        <v>145</v>
      </c>
      <c r="L125" s="18">
        <v>1.2152777777777778E-3</v>
      </c>
      <c r="M125" s="19">
        <v>82</v>
      </c>
      <c r="N125" s="18">
        <v>1.6238425925925927E-2</v>
      </c>
      <c r="O125" s="19">
        <v>117</v>
      </c>
      <c r="P125" s="18">
        <v>5.6539351851851855E-2</v>
      </c>
      <c r="Q125" s="19">
        <v>123</v>
      </c>
      <c r="R125" s="17">
        <v>123</v>
      </c>
      <c r="S125" s="17">
        <v>18</v>
      </c>
      <c r="T125" s="17">
        <v>22</v>
      </c>
      <c r="U125" s="17" t="s">
        <v>19</v>
      </c>
      <c r="V125" s="20">
        <v>80</v>
      </c>
    </row>
    <row r="126" spans="2:22" ht="15.75" thickBot="1" x14ac:dyDescent="0.25">
      <c r="B126" s="15">
        <v>289</v>
      </c>
      <c r="C126" s="16" t="s">
        <v>113</v>
      </c>
      <c r="D126" s="17" t="s">
        <v>106</v>
      </c>
      <c r="E126" s="18">
        <v>0.45833333333333331</v>
      </c>
      <c r="F126" s="18">
        <v>8.7615740740740744E-3</v>
      </c>
      <c r="G126" s="19">
        <v>19</v>
      </c>
      <c r="H126" s="18">
        <v>1.2731481481481483E-3</v>
      </c>
      <c r="I126" s="19">
        <v>92</v>
      </c>
      <c r="J126" s="18">
        <v>2.9386574074074075E-2</v>
      </c>
      <c r="K126" s="19">
        <v>177</v>
      </c>
      <c r="L126" s="18">
        <v>1.1689814814814816E-3</v>
      </c>
      <c r="M126" s="19">
        <v>68</v>
      </c>
      <c r="N126" s="18">
        <v>1.607638888888889E-2</v>
      </c>
      <c r="O126" s="19">
        <v>113</v>
      </c>
      <c r="P126" s="18">
        <v>5.6701388888888891E-2</v>
      </c>
      <c r="Q126" s="19">
        <v>124</v>
      </c>
      <c r="R126" s="17">
        <v>124</v>
      </c>
      <c r="S126" s="17">
        <v>18</v>
      </c>
      <c r="T126" s="17">
        <v>14</v>
      </c>
      <c r="U126" s="17" t="s">
        <v>36</v>
      </c>
      <c r="V126" s="20">
        <v>44</v>
      </c>
    </row>
    <row r="127" spans="2:22" ht="15.75" thickBot="1" x14ac:dyDescent="0.25">
      <c r="B127" s="15">
        <v>147</v>
      </c>
      <c r="C127" s="16" t="s">
        <v>390</v>
      </c>
      <c r="D127" s="17" t="s">
        <v>391</v>
      </c>
      <c r="E127" s="18">
        <v>0.45833333333333331</v>
      </c>
      <c r="F127" s="18">
        <v>9.525462962962963E-3</v>
      </c>
      <c r="G127" s="19">
        <v>54</v>
      </c>
      <c r="H127" s="18">
        <v>1.2731481481481483E-3</v>
      </c>
      <c r="I127" s="19">
        <v>93</v>
      </c>
      <c r="J127" s="18">
        <v>2.7546296296296298E-2</v>
      </c>
      <c r="K127" s="19">
        <v>150</v>
      </c>
      <c r="L127" s="18">
        <v>1.0879629629629629E-3</v>
      </c>
      <c r="M127" s="19">
        <v>45</v>
      </c>
      <c r="N127" s="18">
        <v>1.7256944444444443E-2</v>
      </c>
      <c r="O127" s="19">
        <v>146</v>
      </c>
      <c r="P127" s="18">
        <v>5.6701388888888891E-2</v>
      </c>
      <c r="Q127" s="19">
        <v>125</v>
      </c>
      <c r="R127" s="17">
        <v>125</v>
      </c>
      <c r="S127" s="17">
        <v>19</v>
      </c>
      <c r="T127" s="17">
        <v>15</v>
      </c>
      <c r="U127" s="17" t="s">
        <v>36</v>
      </c>
      <c r="V127" s="20">
        <v>45</v>
      </c>
    </row>
    <row r="128" spans="2:22" ht="15.75" thickBot="1" x14ac:dyDescent="0.25">
      <c r="B128" s="15">
        <v>266</v>
      </c>
      <c r="C128" s="16" t="s">
        <v>392</v>
      </c>
      <c r="D128" s="17" t="s">
        <v>155</v>
      </c>
      <c r="E128" s="18">
        <v>0.45833333333333331</v>
      </c>
      <c r="F128" s="18">
        <v>1.0104166666666666E-2</v>
      </c>
      <c r="G128" s="19">
        <v>84</v>
      </c>
      <c r="H128" s="18">
        <v>1.0763888888888889E-3</v>
      </c>
      <c r="I128" s="19">
        <v>58</v>
      </c>
      <c r="J128" s="18">
        <v>2.7118055555555555E-2</v>
      </c>
      <c r="K128" s="19">
        <v>138</v>
      </c>
      <c r="L128" s="18">
        <v>4.861111111111111E-4</v>
      </c>
      <c r="M128" s="19">
        <v>1</v>
      </c>
      <c r="N128" s="18">
        <v>1.7893518518518517E-2</v>
      </c>
      <c r="O128" s="19">
        <v>164</v>
      </c>
      <c r="P128" s="18">
        <v>5.6712962962962965E-2</v>
      </c>
      <c r="Q128" s="19">
        <v>126</v>
      </c>
      <c r="R128" s="17">
        <v>126</v>
      </c>
      <c r="S128" s="17">
        <v>19</v>
      </c>
      <c r="T128" s="17">
        <v>16</v>
      </c>
      <c r="U128" s="17" t="s">
        <v>36</v>
      </c>
      <c r="V128" s="20">
        <v>46</v>
      </c>
    </row>
    <row r="129" spans="2:22" ht="15.75" thickBot="1" x14ac:dyDescent="0.25">
      <c r="B129" s="15">
        <v>253</v>
      </c>
      <c r="C129" s="16" t="s">
        <v>393</v>
      </c>
      <c r="D129" s="17" t="s">
        <v>394</v>
      </c>
      <c r="E129" s="18">
        <v>0.4513888888888889</v>
      </c>
      <c r="F129" s="18">
        <v>1.0798611111111111E-2</v>
      </c>
      <c r="G129" s="19">
        <v>115</v>
      </c>
      <c r="H129" s="18">
        <v>1.5972222222222223E-3</v>
      </c>
      <c r="I129" s="19">
        <v>131</v>
      </c>
      <c r="J129" s="18">
        <v>2.6319444444444444E-2</v>
      </c>
      <c r="K129" s="19">
        <v>119</v>
      </c>
      <c r="L129" s="18">
        <v>1.724537037037037E-3</v>
      </c>
      <c r="M129" s="19">
        <v>168</v>
      </c>
      <c r="N129" s="18">
        <v>1.6273148148148148E-2</v>
      </c>
      <c r="O129" s="19">
        <v>119</v>
      </c>
      <c r="P129" s="18">
        <v>5.6747685185185186E-2</v>
      </c>
      <c r="Q129" s="19">
        <v>127</v>
      </c>
      <c r="R129" s="17">
        <v>127</v>
      </c>
      <c r="S129" s="17">
        <v>21</v>
      </c>
      <c r="T129" s="17">
        <v>55</v>
      </c>
      <c r="U129" s="17" t="s">
        <v>19</v>
      </c>
      <c r="V129" s="20">
        <v>81</v>
      </c>
    </row>
    <row r="130" spans="2:22" ht="15.75" thickBot="1" x14ac:dyDescent="0.25">
      <c r="B130" s="15">
        <v>80</v>
      </c>
      <c r="C130" s="16" t="s">
        <v>395</v>
      </c>
      <c r="D130" s="17" t="s">
        <v>146</v>
      </c>
      <c r="E130" s="18">
        <v>0.4513888888888889</v>
      </c>
      <c r="F130" s="18">
        <v>9.9305555555555553E-3</v>
      </c>
      <c r="G130" s="19">
        <v>77</v>
      </c>
      <c r="H130" s="18">
        <v>1.9097222222222222E-3</v>
      </c>
      <c r="I130" s="19">
        <v>165</v>
      </c>
      <c r="J130" s="18">
        <v>2.6481481481481481E-2</v>
      </c>
      <c r="K130" s="19">
        <v>123</v>
      </c>
      <c r="L130" s="18">
        <v>1.6087962962962963E-3</v>
      </c>
      <c r="M130" s="19">
        <v>157</v>
      </c>
      <c r="N130" s="18">
        <v>1.695601851851852E-2</v>
      </c>
      <c r="O130" s="19">
        <v>141</v>
      </c>
      <c r="P130" s="18">
        <v>5.6909722222222223E-2</v>
      </c>
      <c r="Q130" s="19">
        <v>128</v>
      </c>
      <c r="R130" s="17">
        <v>128</v>
      </c>
      <c r="S130" s="17">
        <v>32</v>
      </c>
      <c r="T130" s="17">
        <v>1</v>
      </c>
      <c r="U130" s="17" t="s">
        <v>19</v>
      </c>
      <c r="V130" s="20">
        <v>82</v>
      </c>
    </row>
    <row r="131" spans="2:22" ht="15.75" thickBot="1" x14ac:dyDescent="0.25">
      <c r="B131" s="15">
        <v>259</v>
      </c>
      <c r="C131" s="16" t="s">
        <v>396</v>
      </c>
      <c r="D131" s="17" t="s">
        <v>397</v>
      </c>
      <c r="E131" s="18">
        <v>0.4513888888888889</v>
      </c>
      <c r="F131" s="18">
        <v>1.1423611111111112E-2</v>
      </c>
      <c r="G131" s="19">
        <v>151</v>
      </c>
      <c r="H131" s="18">
        <v>2.3842592592592591E-3</v>
      </c>
      <c r="I131" s="19">
        <v>178</v>
      </c>
      <c r="J131" s="18">
        <v>2.6782407407407408E-2</v>
      </c>
      <c r="K131" s="19">
        <v>132</v>
      </c>
      <c r="L131" s="18">
        <v>9.6064814814814819E-4</v>
      </c>
      <c r="M131" s="19">
        <v>26</v>
      </c>
      <c r="N131" s="18">
        <v>1.5370370370370371E-2</v>
      </c>
      <c r="O131" s="19">
        <v>92</v>
      </c>
      <c r="P131" s="18">
        <v>5.6956018518518517E-2</v>
      </c>
      <c r="Q131" s="19">
        <v>129</v>
      </c>
      <c r="R131" s="17">
        <v>129</v>
      </c>
      <c r="S131" s="17">
        <v>19</v>
      </c>
      <c r="T131" s="17">
        <v>23</v>
      </c>
      <c r="U131" s="17" t="s">
        <v>19</v>
      </c>
      <c r="V131" s="20">
        <v>83</v>
      </c>
    </row>
    <row r="132" spans="2:22" ht="15.75" thickBot="1" x14ac:dyDescent="0.25">
      <c r="B132" s="15">
        <v>169</v>
      </c>
      <c r="C132" s="16" t="s">
        <v>398</v>
      </c>
      <c r="D132" s="17" t="s">
        <v>399</v>
      </c>
      <c r="E132" s="18">
        <v>0.45833333333333331</v>
      </c>
      <c r="F132" s="18">
        <v>1.1354166666666667E-2</v>
      </c>
      <c r="G132" s="19">
        <v>145</v>
      </c>
      <c r="H132" s="18">
        <v>9.6064814814814819E-4</v>
      </c>
      <c r="I132" s="19">
        <v>47</v>
      </c>
      <c r="J132" s="18">
        <v>2.6458333333333334E-2</v>
      </c>
      <c r="K132" s="19">
        <v>122</v>
      </c>
      <c r="L132" s="18">
        <v>1.2962962962962963E-3</v>
      </c>
      <c r="M132" s="19">
        <v>102</v>
      </c>
      <c r="N132" s="18">
        <v>1.6875000000000001E-2</v>
      </c>
      <c r="O132" s="19">
        <v>134</v>
      </c>
      <c r="P132" s="18">
        <v>5.6967592592592591E-2</v>
      </c>
      <c r="Q132" s="19">
        <v>130</v>
      </c>
      <c r="R132" s="17">
        <v>130</v>
      </c>
      <c r="S132" s="17">
        <v>22</v>
      </c>
      <c r="T132" s="17">
        <v>27</v>
      </c>
      <c r="U132" s="17" t="s">
        <v>36</v>
      </c>
      <c r="V132" s="20">
        <v>47</v>
      </c>
    </row>
    <row r="133" spans="2:22" ht="15.75" thickBot="1" x14ac:dyDescent="0.25">
      <c r="B133" s="15">
        <v>639</v>
      </c>
      <c r="C133" s="16" t="s">
        <v>400</v>
      </c>
      <c r="D133" s="17" t="s">
        <v>164</v>
      </c>
      <c r="E133" s="18">
        <v>0.4513888888888889</v>
      </c>
      <c r="F133" s="18">
        <v>1.119212962962963E-2</v>
      </c>
      <c r="G133" s="19">
        <v>139</v>
      </c>
      <c r="H133" s="18">
        <v>2.476851851851852E-3</v>
      </c>
      <c r="I133" s="19">
        <v>179</v>
      </c>
      <c r="J133" s="18">
        <v>2.7164351851851853E-2</v>
      </c>
      <c r="K133" s="19">
        <v>139</v>
      </c>
      <c r="L133" s="18">
        <v>9.0277777777777774E-4</v>
      </c>
      <c r="M133" s="19">
        <v>17</v>
      </c>
      <c r="N133" s="18">
        <v>1.5219907407407408E-2</v>
      </c>
      <c r="O133" s="19">
        <v>85</v>
      </c>
      <c r="P133" s="18">
        <v>5.6990740740740738E-2</v>
      </c>
      <c r="Q133" s="19">
        <v>131</v>
      </c>
      <c r="R133" s="17">
        <v>131</v>
      </c>
      <c r="S133" s="17">
        <v>21</v>
      </c>
      <c r="T133" s="17">
        <v>56</v>
      </c>
      <c r="U133" s="17" t="s">
        <v>19</v>
      </c>
      <c r="V133" s="20">
        <v>84</v>
      </c>
    </row>
    <row r="134" spans="2:22" ht="15.75" thickBot="1" x14ac:dyDescent="0.25">
      <c r="B134" s="15">
        <v>69</v>
      </c>
      <c r="C134" s="16" t="s">
        <v>89</v>
      </c>
      <c r="D134" s="17" t="s">
        <v>90</v>
      </c>
      <c r="E134" s="18">
        <v>0.4513888888888889</v>
      </c>
      <c r="F134" s="18">
        <v>0</v>
      </c>
      <c r="G134" s="19"/>
      <c r="H134" s="18">
        <v>0</v>
      </c>
      <c r="I134" s="19"/>
      <c r="J134" s="18">
        <v>0</v>
      </c>
      <c r="K134" s="19"/>
      <c r="L134" s="18">
        <v>0</v>
      </c>
      <c r="M134" s="19"/>
      <c r="N134" s="18">
        <v>5.7118055555555554E-2</v>
      </c>
      <c r="O134" s="19">
        <v>199</v>
      </c>
      <c r="P134" s="18">
        <v>5.7118055555555554E-2</v>
      </c>
      <c r="Q134" s="19">
        <v>132</v>
      </c>
      <c r="R134" s="17">
        <v>132</v>
      </c>
      <c r="S134" s="17">
        <v>18</v>
      </c>
      <c r="T134" s="17">
        <v>24</v>
      </c>
      <c r="U134" s="17" t="s">
        <v>19</v>
      </c>
      <c r="V134" s="20">
        <v>85</v>
      </c>
    </row>
    <row r="135" spans="2:22" ht="15.75" thickBot="1" x14ac:dyDescent="0.25">
      <c r="B135" s="15">
        <v>273</v>
      </c>
      <c r="C135" s="16" t="s">
        <v>401</v>
      </c>
      <c r="D135" s="17" t="s">
        <v>402</v>
      </c>
      <c r="E135" s="18">
        <v>0.45833333333333331</v>
      </c>
      <c r="F135" s="18">
        <v>1.3275462962962963E-2</v>
      </c>
      <c r="G135" s="19">
        <v>187</v>
      </c>
      <c r="H135" s="18">
        <v>2.0486111111111113E-3</v>
      </c>
      <c r="I135" s="19">
        <v>170</v>
      </c>
      <c r="J135" s="18">
        <v>2.7268518518518518E-2</v>
      </c>
      <c r="K135" s="19">
        <v>140</v>
      </c>
      <c r="L135" s="18">
        <v>8.6805555555555551E-4</v>
      </c>
      <c r="M135" s="19">
        <v>12</v>
      </c>
      <c r="N135" s="18">
        <v>1.3784722222222223E-2</v>
      </c>
      <c r="O135" s="19">
        <v>34</v>
      </c>
      <c r="P135" s="18">
        <v>5.7280092592592591E-2</v>
      </c>
      <c r="Q135" s="19">
        <v>133</v>
      </c>
      <c r="R135" s="17">
        <v>133</v>
      </c>
      <c r="S135" s="17">
        <v>20</v>
      </c>
      <c r="T135" s="17">
        <v>28</v>
      </c>
      <c r="U135" s="17" t="s">
        <v>36</v>
      </c>
      <c r="V135" s="20">
        <v>48</v>
      </c>
    </row>
    <row r="136" spans="2:22" ht="15.75" thickBot="1" x14ac:dyDescent="0.25">
      <c r="B136" s="15">
        <v>124</v>
      </c>
      <c r="C136" s="16" t="s">
        <v>403</v>
      </c>
      <c r="D136" s="17" t="s">
        <v>133</v>
      </c>
      <c r="E136" s="18">
        <v>0.45833333333333331</v>
      </c>
      <c r="F136" s="18">
        <v>1.0821759259259258E-2</v>
      </c>
      <c r="G136" s="19">
        <v>117</v>
      </c>
      <c r="H136" s="18">
        <v>1.5509259259259259E-3</v>
      </c>
      <c r="I136" s="19">
        <v>124</v>
      </c>
      <c r="J136" s="18">
        <v>2.6770833333333334E-2</v>
      </c>
      <c r="K136" s="19">
        <v>131</v>
      </c>
      <c r="L136" s="18">
        <v>1.4351851851851852E-3</v>
      </c>
      <c r="M136" s="19">
        <v>132</v>
      </c>
      <c r="N136" s="18">
        <v>1.6736111111111111E-2</v>
      </c>
      <c r="O136" s="19">
        <v>131</v>
      </c>
      <c r="P136" s="18">
        <v>5.7326388888888892E-2</v>
      </c>
      <c r="Q136" s="19">
        <v>134</v>
      </c>
      <c r="R136" s="17">
        <v>134</v>
      </c>
      <c r="S136" s="17">
        <v>21</v>
      </c>
      <c r="T136" s="17">
        <v>29</v>
      </c>
      <c r="U136" s="17" t="s">
        <v>36</v>
      </c>
      <c r="V136" s="20">
        <v>49</v>
      </c>
    </row>
    <row r="137" spans="2:22" ht="15.75" thickBot="1" x14ac:dyDescent="0.25">
      <c r="B137" s="15">
        <v>300</v>
      </c>
      <c r="C137" s="16" t="s">
        <v>404</v>
      </c>
      <c r="D137" s="17" t="s">
        <v>77</v>
      </c>
      <c r="E137" s="18">
        <v>0.45833333333333331</v>
      </c>
      <c r="F137" s="18">
        <v>1.1851851851851851E-2</v>
      </c>
      <c r="G137" s="19">
        <v>161</v>
      </c>
      <c r="H137" s="18">
        <v>1.8518518518518519E-3</v>
      </c>
      <c r="I137" s="19">
        <v>160</v>
      </c>
      <c r="J137" s="18">
        <v>2.6550925925925926E-2</v>
      </c>
      <c r="K137" s="19">
        <v>125</v>
      </c>
      <c r="L137" s="18">
        <v>1.6550925925925926E-3</v>
      </c>
      <c r="M137" s="19">
        <v>164</v>
      </c>
      <c r="N137" s="18">
        <v>1.5497685185185186E-2</v>
      </c>
      <c r="O137" s="19">
        <v>98</v>
      </c>
      <c r="P137" s="18">
        <v>5.7418981481481481E-2</v>
      </c>
      <c r="Q137" s="19">
        <v>135</v>
      </c>
      <c r="R137" s="17">
        <v>135</v>
      </c>
      <c r="S137" s="17">
        <v>27</v>
      </c>
      <c r="T137" s="17">
        <v>4</v>
      </c>
      <c r="U137" s="17" t="s">
        <v>36</v>
      </c>
      <c r="V137" s="20">
        <v>50</v>
      </c>
    </row>
    <row r="138" spans="2:22" ht="15.75" thickBot="1" x14ac:dyDescent="0.25">
      <c r="B138" s="15">
        <v>173</v>
      </c>
      <c r="C138" s="16" t="s">
        <v>405</v>
      </c>
      <c r="D138" s="17" t="s">
        <v>45</v>
      </c>
      <c r="E138" s="18">
        <v>0.45833333333333331</v>
      </c>
      <c r="F138" s="18">
        <v>1.3020833333333334E-2</v>
      </c>
      <c r="G138" s="19">
        <v>186</v>
      </c>
      <c r="H138" s="18">
        <v>1.3773148148148147E-3</v>
      </c>
      <c r="I138" s="19">
        <v>107</v>
      </c>
      <c r="J138" s="18">
        <v>2.5914351851851852E-2</v>
      </c>
      <c r="K138" s="19">
        <v>106</v>
      </c>
      <c r="L138" s="18">
        <v>1.3541666666666667E-3</v>
      </c>
      <c r="M138" s="19">
        <v>116</v>
      </c>
      <c r="N138" s="18">
        <v>1.5949074074074074E-2</v>
      </c>
      <c r="O138" s="19">
        <v>107</v>
      </c>
      <c r="P138" s="18">
        <v>5.7638888888888892E-2</v>
      </c>
      <c r="Q138" s="19">
        <v>136</v>
      </c>
      <c r="R138" s="17">
        <v>136</v>
      </c>
      <c r="S138" s="17">
        <v>21</v>
      </c>
      <c r="T138" s="17">
        <v>30</v>
      </c>
      <c r="U138" s="17" t="s">
        <v>36</v>
      </c>
      <c r="V138" s="20">
        <v>51</v>
      </c>
    </row>
    <row r="139" spans="2:22" ht="15.75" thickBot="1" x14ac:dyDescent="0.25">
      <c r="B139" s="15">
        <v>63</v>
      </c>
      <c r="C139" s="16" t="s">
        <v>406</v>
      </c>
      <c r="D139" s="17" t="s">
        <v>77</v>
      </c>
      <c r="E139" s="18">
        <v>0.45833333333333331</v>
      </c>
      <c r="F139" s="18">
        <v>1.1064814814814816E-2</v>
      </c>
      <c r="G139" s="19">
        <v>128</v>
      </c>
      <c r="H139" s="18">
        <v>1.5856481481481481E-3</v>
      </c>
      <c r="I139" s="19">
        <v>129</v>
      </c>
      <c r="J139" s="18">
        <v>2.7881944444444445E-2</v>
      </c>
      <c r="K139" s="19">
        <v>157</v>
      </c>
      <c r="L139" s="18">
        <v>1.8055555555555555E-3</v>
      </c>
      <c r="M139" s="19">
        <v>179</v>
      </c>
      <c r="N139" s="18">
        <v>1.53125E-2</v>
      </c>
      <c r="O139" s="19">
        <v>88</v>
      </c>
      <c r="P139" s="18">
        <v>5.7685185185185187E-2</v>
      </c>
      <c r="Q139" s="19">
        <v>137</v>
      </c>
      <c r="R139" s="17">
        <v>137</v>
      </c>
      <c r="S139" s="17">
        <v>21</v>
      </c>
      <c r="T139" s="17">
        <v>31</v>
      </c>
      <c r="U139" s="17" t="s">
        <v>36</v>
      </c>
      <c r="V139" s="20">
        <v>52</v>
      </c>
    </row>
    <row r="140" spans="2:22" ht="15.75" thickBot="1" x14ac:dyDescent="0.25">
      <c r="B140" s="15">
        <v>646</v>
      </c>
      <c r="C140" s="16" t="s">
        <v>407</v>
      </c>
      <c r="D140" s="17" t="s">
        <v>408</v>
      </c>
      <c r="E140" s="18">
        <v>0.45833333333333331</v>
      </c>
      <c r="F140" s="18">
        <v>1.0752314814814815E-2</v>
      </c>
      <c r="G140" s="19">
        <v>112</v>
      </c>
      <c r="H140" s="18">
        <v>1.3425925925925925E-3</v>
      </c>
      <c r="I140" s="19">
        <v>97</v>
      </c>
      <c r="J140" s="18">
        <v>2.8402777777777777E-2</v>
      </c>
      <c r="K140" s="19">
        <v>164</v>
      </c>
      <c r="L140" s="18">
        <v>1.1458333333333333E-3</v>
      </c>
      <c r="M140" s="19">
        <v>61</v>
      </c>
      <c r="N140" s="18">
        <v>1.6064814814814816E-2</v>
      </c>
      <c r="O140" s="19">
        <v>112</v>
      </c>
      <c r="P140" s="18">
        <v>5.7731481481481481E-2</v>
      </c>
      <c r="Q140" s="19">
        <v>138</v>
      </c>
      <c r="R140" s="17">
        <v>138</v>
      </c>
      <c r="S140" s="17">
        <v>19</v>
      </c>
      <c r="T140" s="17">
        <v>17</v>
      </c>
      <c r="U140" s="17" t="s">
        <v>36</v>
      </c>
      <c r="V140" s="20">
        <v>53</v>
      </c>
    </row>
    <row r="141" spans="2:22" ht="15.75" thickBot="1" x14ac:dyDescent="0.25">
      <c r="B141" s="15">
        <v>243</v>
      </c>
      <c r="C141" s="16" t="s">
        <v>411</v>
      </c>
      <c r="D141" s="17" t="s">
        <v>164</v>
      </c>
      <c r="E141" s="18">
        <v>0.45833333333333331</v>
      </c>
      <c r="F141" s="18">
        <v>1.0729166666666666E-2</v>
      </c>
      <c r="G141" s="19">
        <v>111</v>
      </c>
      <c r="H141" s="18">
        <v>1.4467592592592592E-3</v>
      </c>
      <c r="I141" s="19">
        <v>115</v>
      </c>
      <c r="J141" s="18">
        <v>2.6180555555555554E-2</v>
      </c>
      <c r="K141" s="19">
        <v>115</v>
      </c>
      <c r="L141" s="18">
        <v>2.0138888888888888E-3</v>
      </c>
      <c r="M141" s="19">
        <v>190</v>
      </c>
      <c r="N141" s="18">
        <v>1.7326388888888888E-2</v>
      </c>
      <c r="O141" s="19">
        <v>148</v>
      </c>
      <c r="P141" s="18">
        <v>5.7731481481481481E-2</v>
      </c>
      <c r="Q141" s="19">
        <v>139</v>
      </c>
      <c r="R141" s="17">
        <v>140</v>
      </c>
      <c r="S141" s="17">
        <v>19</v>
      </c>
      <c r="T141" s="17">
        <v>19</v>
      </c>
      <c r="U141" s="17" t="s">
        <v>36</v>
      </c>
      <c r="V141" s="20">
        <v>55</v>
      </c>
    </row>
    <row r="142" spans="2:22" ht="15.75" thickBot="1" x14ac:dyDescent="0.25">
      <c r="B142" s="15">
        <v>252</v>
      </c>
      <c r="C142" s="16" t="s">
        <v>409</v>
      </c>
      <c r="D142" s="17" t="s">
        <v>410</v>
      </c>
      <c r="E142" s="18">
        <v>0.45833333333333331</v>
      </c>
      <c r="F142" s="18">
        <v>1.0520833333333333E-2</v>
      </c>
      <c r="G142" s="19">
        <v>100</v>
      </c>
      <c r="H142" s="18">
        <v>1.6319444444444445E-3</v>
      </c>
      <c r="I142" s="19">
        <v>134</v>
      </c>
      <c r="J142" s="18">
        <v>2.2824074074074073E-2</v>
      </c>
      <c r="K142" s="19">
        <v>30</v>
      </c>
      <c r="L142" s="18">
        <v>1.5277777777777779E-3</v>
      </c>
      <c r="M142" s="19">
        <v>145</v>
      </c>
      <c r="N142" s="18">
        <v>2.1215277777777777E-2</v>
      </c>
      <c r="O142" s="19">
        <v>192</v>
      </c>
      <c r="P142" s="18">
        <v>5.7731481481481481E-2</v>
      </c>
      <c r="Q142" s="19">
        <v>140</v>
      </c>
      <c r="R142" s="17">
        <v>139</v>
      </c>
      <c r="S142" s="17">
        <v>17</v>
      </c>
      <c r="T142" s="17">
        <v>18</v>
      </c>
      <c r="U142" s="17" t="s">
        <v>36</v>
      </c>
      <c r="V142" s="20">
        <v>54</v>
      </c>
    </row>
    <row r="143" spans="2:22" ht="15.75" thickBot="1" x14ac:dyDescent="0.25">
      <c r="B143" s="15">
        <v>245</v>
      </c>
      <c r="C143" s="16" t="s">
        <v>412</v>
      </c>
      <c r="D143" s="17" t="s">
        <v>77</v>
      </c>
      <c r="E143" s="18">
        <v>0.4513888888888889</v>
      </c>
      <c r="F143" s="18">
        <v>1.1006944444444444E-2</v>
      </c>
      <c r="G143" s="19">
        <v>127</v>
      </c>
      <c r="H143" s="18">
        <v>8.564814814814815E-4</v>
      </c>
      <c r="I143" s="19">
        <v>40</v>
      </c>
      <c r="J143" s="18">
        <v>2.7280092592592592E-2</v>
      </c>
      <c r="K143" s="19">
        <v>141</v>
      </c>
      <c r="L143" s="18">
        <v>1.1342592592592593E-3</v>
      </c>
      <c r="M143" s="19">
        <v>57</v>
      </c>
      <c r="N143" s="18">
        <v>1.744212962962963E-2</v>
      </c>
      <c r="O143" s="19">
        <v>151</v>
      </c>
      <c r="P143" s="18">
        <v>5.7743055555555554E-2</v>
      </c>
      <c r="Q143" s="19">
        <v>141</v>
      </c>
      <c r="R143" s="17">
        <v>141</v>
      </c>
      <c r="S143" s="17">
        <v>22</v>
      </c>
      <c r="T143" s="17">
        <v>57</v>
      </c>
      <c r="U143" s="17" t="s">
        <v>19</v>
      </c>
      <c r="V143" s="20">
        <v>86</v>
      </c>
    </row>
    <row r="144" spans="2:22" ht="15.75" thickBot="1" x14ac:dyDescent="0.25">
      <c r="B144" s="15">
        <v>193</v>
      </c>
      <c r="C144" s="16" t="s">
        <v>144</v>
      </c>
      <c r="D144" s="17" t="s">
        <v>146</v>
      </c>
      <c r="E144" s="18">
        <v>0.45833333333333331</v>
      </c>
      <c r="F144" s="18">
        <v>1.1296296296296296E-2</v>
      </c>
      <c r="G144" s="19">
        <v>143</v>
      </c>
      <c r="H144" s="18">
        <v>1.3773148148148147E-3</v>
      </c>
      <c r="I144" s="19">
        <v>106</v>
      </c>
      <c r="J144" s="18">
        <v>2.5740740740740741E-2</v>
      </c>
      <c r="K144" s="19">
        <v>101</v>
      </c>
      <c r="L144" s="18">
        <v>1.4583333333333334E-3</v>
      </c>
      <c r="M144" s="19">
        <v>138</v>
      </c>
      <c r="N144" s="18">
        <v>1.787037037037037E-2</v>
      </c>
      <c r="O144" s="19">
        <v>162</v>
      </c>
      <c r="P144" s="18">
        <v>5.7766203703703702E-2</v>
      </c>
      <c r="Q144" s="19">
        <v>142</v>
      </c>
      <c r="R144" s="17">
        <v>142</v>
      </c>
      <c r="S144" s="17">
        <v>26</v>
      </c>
      <c r="T144" s="17">
        <v>5</v>
      </c>
      <c r="U144" s="17" t="s">
        <v>36</v>
      </c>
      <c r="V144" s="20">
        <v>56</v>
      </c>
    </row>
    <row r="145" spans="2:22" ht="15.75" thickBot="1" x14ac:dyDescent="0.25">
      <c r="B145" s="15">
        <v>136</v>
      </c>
      <c r="C145" s="16" t="s">
        <v>132</v>
      </c>
      <c r="D145" s="17" t="s">
        <v>414</v>
      </c>
      <c r="E145" s="18">
        <v>0.45833333333333331</v>
      </c>
      <c r="F145" s="18">
        <v>9.5601851851851855E-3</v>
      </c>
      <c r="G145" s="19">
        <v>59</v>
      </c>
      <c r="H145" s="18">
        <v>1.6550925925925926E-3</v>
      </c>
      <c r="I145" s="19">
        <v>136</v>
      </c>
      <c r="J145" s="18">
        <v>2.7777777777777776E-2</v>
      </c>
      <c r="K145" s="19">
        <v>155</v>
      </c>
      <c r="L145" s="18">
        <v>1.8055555555555555E-3</v>
      </c>
      <c r="M145" s="19">
        <v>178</v>
      </c>
      <c r="N145" s="18">
        <v>1.6944444444444446E-2</v>
      </c>
      <c r="O145" s="19">
        <v>139</v>
      </c>
      <c r="P145" s="18">
        <v>5.7777777777777775E-2</v>
      </c>
      <c r="Q145" s="19">
        <v>143</v>
      </c>
      <c r="R145" s="17">
        <v>144</v>
      </c>
      <c r="S145" s="17">
        <v>20</v>
      </c>
      <c r="T145" s="17">
        <v>32</v>
      </c>
      <c r="U145" s="17" t="s">
        <v>36</v>
      </c>
      <c r="V145" s="20">
        <v>57</v>
      </c>
    </row>
    <row r="146" spans="2:22" ht="15.75" thickBot="1" x14ac:dyDescent="0.25">
      <c r="B146" s="15">
        <v>321</v>
      </c>
      <c r="C146" s="16" t="s">
        <v>413</v>
      </c>
      <c r="D146" s="17" t="s">
        <v>35</v>
      </c>
      <c r="E146" s="18">
        <v>0.4513888888888889</v>
      </c>
      <c r="F146" s="18">
        <v>1.1481481481481481E-2</v>
      </c>
      <c r="G146" s="19">
        <v>153</v>
      </c>
      <c r="H146" s="18">
        <v>1.1111111111111111E-3</v>
      </c>
      <c r="I146" s="19">
        <v>64</v>
      </c>
      <c r="J146" s="18">
        <v>2.5486111111111112E-2</v>
      </c>
      <c r="K146" s="19">
        <v>92</v>
      </c>
      <c r="L146" s="18">
        <v>1.3888888888888889E-3</v>
      </c>
      <c r="M146" s="19">
        <v>123</v>
      </c>
      <c r="N146" s="18">
        <v>1.8287037037037036E-2</v>
      </c>
      <c r="O146" s="19">
        <v>170</v>
      </c>
      <c r="P146" s="18">
        <v>5.7777777777777775E-2</v>
      </c>
      <c r="Q146" s="19">
        <v>144</v>
      </c>
      <c r="R146" s="17">
        <v>143</v>
      </c>
      <c r="S146" s="17">
        <v>21</v>
      </c>
      <c r="T146" s="17">
        <v>58</v>
      </c>
      <c r="U146" s="17" t="s">
        <v>19</v>
      </c>
      <c r="V146" s="20">
        <v>87</v>
      </c>
    </row>
    <row r="147" spans="2:22" ht="15.75" thickBot="1" x14ac:dyDescent="0.25">
      <c r="B147" s="15">
        <v>236</v>
      </c>
      <c r="C147" s="16" t="s">
        <v>95</v>
      </c>
      <c r="D147" s="17" t="s">
        <v>96</v>
      </c>
      <c r="E147" s="18">
        <v>0.4513888888888889</v>
      </c>
      <c r="F147" s="18">
        <v>1.4131944444444445E-2</v>
      </c>
      <c r="G147" s="19">
        <v>191</v>
      </c>
      <c r="H147" s="18">
        <v>1.6203703703703703E-3</v>
      </c>
      <c r="I147" s="19">
        <v>133</v>
      </c>
      <c r="J147" s="18">
        <v>2.494212962962963E-2</v>
      </c>
      <c r="K147" s="19">
        <v>78</v>
      </c>
      <c r="L147" s="18">
        <v>2.5115740740740741E-3</v>
      </c>
      <c r="M147" s="19">
        <v>194</v>
      </c>
      <c r="N147" s="18">
        <v>1.4594907407407407E-2</v>
      </c>
      <c r="O147" s="19">
        <v>61</v>
      </c>
      <c r="P147" s="18">
        <v>5.783564814814815E-2</v>
      </c>
      <c r="Q147" s="19">
        <v>145</v>
      </c>
      <c r="R147" s="17">
        <v>145</v>
      </c>
      <c r="S147" s="17">
        <v>20</v>
      </c>
      <c r="T147" s="17">
        <v>59</v>
      </c>
      <c r="U147" s="17" t="s">
        <v>19</v>
      </c>
      <c r="V147" s="20">
        <v>88</v>
      </c>
    </row>
    <row r="148" spans="2:22" ht="15.75" thickBot="1" x14ac:dyDescent="0.25">
      <c r="B148" s="15">
        <v>278</v>
      </c>
      <c r="C148" s="16" t="s">
        <v>107</v>
      </c>
      <c r="D148" s="17" t="s">
        <v>415</v>
      </c>
      <c r="E148" s="18">
        <v>0.4513888888888889</v>
      </c>
      <c r="F148" s="18">
        <v>1.2905092592592593E-2</v>
      </c>
      <c r="G148" s="19">
        <v>185</v>
      </c>
      <c r="H148" s="18">
        <v>2.2106481481481482E-3</v>
      </c>
      <c r="I148" s="19">
        <v>175</v>
      </c>
      <c r="J148" s="18">
        <v>2.5659722222222223E-2</v>
      </c>
      <c r="K148" s="19">
        <v>97</v>
      </c>
      <c r="L148" s="18">
        <v>1.7476851851851852E-3</v>
      </c>
      <c r="M148" s="19">
        <v>170</v>
      </c>
      <c r="N148" s="18">
        <v>1.5405092592592592E-2</v>
      </c>
      <c r="O148" s="19">
        <v>95</v>
      </c>
      <c r="P148" s="18">
        <v>5.7939814814814812E-2</v>
      </c>
      <c r="Q148" s="19">
        <v>146</v>
      </c>
      <c r="R148" s="17">
        <v>146</v>
      </c>
      <c r="S148" s="17">
        <v>19</v>
      </c>
      <c r="T148" s="17">
        <v>25</v>
      </c>
      <c r="U148" s="17" t="s">
        <v>19</v>
      </c>
      <c r="V148" s="20">
        <v>89</v>
      </c>
    </row>
    <row r="149" spans="2:22" ht="15.75" thickBot="1" x14ac:dyDescent="0.25">
      <c r="B149" s="15">
        <v>168</v>
      </c>
      <c r="C149" s="16" t="s">
        <v>416</v>
      </c>
      <c r="D149" s="17" t="s">
        <v>77</v>
      </c>
      <c r="E149" s="18">
        <v>0.45833333333333331</v>
      </c>
      <c r="F149" s="18">
        <v>1.2141203703703704E-2</v>
      </c>
      <c r="G149" s="19">
        <v>170</v>
      </c>
      <c r="H149" s="18">
        <v>1.25E-3</v>
      </c>
      <c r="I149" s="19">
        <v>89</v>
      </c>
      <c r="J149" s="18">
        <v>2.6944444444444444E-2</v>
      </c>
      <c r="K149" s="19">
        <v>135</v>
      </c>
      <c r="L149" s="18">
        <v>1.3773148148148147E-3</v>
      </c>
      <c r="M149" s="19">
        <v>122</v>
      </c>
      <c r="N149" s="18">
        <v>1.6238425925925927E-2</v>
      </c>
      <c r="O149" s="19">
        <v>118</v>
      </c>
      <c r="P149" s="18">
        <v>5.7962962962962966E-2</v>
      </c>
      <c r="Q149" s="19">
        <v>147</v>
      </c>
      <c r="R149" s="17">
        <v>147</v>
      </c>
      <c r="S149" s="17">
        <v>20</v>
      </c>
      <c r="T149" s="17">
        <v>33</v>
      </c>
      <c r="U149" s="17" t="s">
        <v>36</v>
      </c>
      <c r="V149" s="20">
        <v>58</v>
      </c>
    </row>
    <row r="150" spans="2:22" ht="15.75" thickBot="1" x14ac:dyDescent="0.25">
      <c r="B150" s="15">
        <v>229</v>
      </c>
      <c r="C150" s="16" t="s">
        <v>417</v>
      </c>
      <c r="D150" s="17" t="s">
        <v>418</v>
      </c>
      <c r="E150" s="18">
        <v>0.45833333333333331</v>
      </c>
      <c r="F150" s="18">
        <v>9.5138888888888894E-3</v>
      </c>
      <c r="G150" s="19">
        <v>53</v>
      </c>
      <c r="H150" s="18">
        <v>1.4814814814814814E-3</v>
      </c>
      <c r="I150" s="19">
        <v>119</v>
      </c>
      <c r="J150" s="18">
        <v>2.9479166666666667E-2</v>
      </c>
      <c r="K150" s="19">
        <v>179</v>
      </c>
      <c r="L150" s="18">
        <v>1.1574074074074073E-3</v>
      </c>
      <c r="M150" s="19">
        <v>64</v>
      </c>
      <c r="N150" s="18">
        <v>1.6400462962962964E-2</v>
      </c>
      <c r="O150" s="19">
        <v>124</v>
      </c>
      <c r="P150" s="18">
        <v>5.8055555555555555E-2</v>
      </c>
      <c r="Q150" s="19">
        <v>148</v>
      </c>
      <c r="R150" s="17">
        <v>148</v>
      </c>
      <c r="S150" s="17">
        <v>19</v>
      </c>
      <c r="T150" s="17">
        <v>20</v>
      </c>
      <c r="U150" s="17" t="s">
        <v>36</v>
      </c>
      <c r="V150" s="20">
        <v>59</v>
      </c>
    </row>
    <row r="151" spans="2:22" ht="15.75" thickBot="1" x14ac:dyDescent="0.25">
      <c r="B151" s="15">
        <v>106</v>
      </c>
      <c r="C151" s="16" t="s">
        <v>183</v>
      </c>
      <c r="D151" s="17" t="s">
        <v>419</v>
      </c>
      <c r="E151" s="18">
        <v>0.45833333333333331</v>
      </c>
      <c r="F151" s="18">
        <v>1.0567129629629629E-2</v>
      </c>
      <c r="G151" s="19">
        <v>104</v>
      </c>
      <c r="H151" s="18">
        <v>1.5740740740740741E-3</v>
      </c>
      <c r="I151" s="19">
        <v>126</v>
      </c>
      <c r="J151" s="18">
        <v>2.7488425925925927E-2</v>
      </c>
      <c r="K151" s="19">
        <v>149</v>
      </c>
      <c r="L151" s="18">
        <v>1.7824074074074075E-3</v>
      </c>
      <c r="M151" s="19">
        <v>175</v>
      </c>
      <c r="N151" s="18">
        <v>1.6759259259259258E-2</v>
      </c>
      <c r="O151" s="19">
        <v>132</v>
      </c>
      <c r="P151" s="18">
        <v>5.8194444444444444E-2</v>
      </c>
      <c r="Q151" s="19">
        <v>149</v>
      </c>
      <c r="R151" s="17">
        <v>149</v>
      </c>
      <c r="S151" s="17">
        <v>19</v>
      </c>
      <c r="T151" s="17">
        <v>21</v>
      </c>
      <c r="U151" s="17" t="s">
        <v>36</v>
      </c>
      <c r="V151" s="20">
        <v>60</v>
      </c>
    </row>
    <row r="152" spans="2:22" ht="15.75" thickBot="1" x14ac:dyDescent="0.25">
      <c r="B152" s="15">
        <v>205</v>
      </c>
      <c r="C152" s="16" t="s">
        <v>420</v>
      </c>
      <c r="D152" s="17" t="s">
        <v>35</v>
      </c>
      <c r="E152" s="18">
        <v>0.4513888888888889</v>
      </c>
      <c r="F152" s="18">
        <v>1.1122685185185185E-2</v>
      </c>
      <c r="G152" s="19">
        <v>134</v>
      </c>
      <c r="H152" s="18">
        <v>2.2106481481481482E-3</v>
      </c>
      <c r="I152" s="19">
        <v>174</v>
      </c>
      <c r="J152" s="18">
        <v>2.7280092592592592E-2</v>
      </c>
      <c r="K152" s="19">
        <v>143</v>
      </c>
      <c r="L152" s="18">
        <v>8.9120370370370373E-4</v>
      </c>
      <c r="M152" s="19">
        <v>15</v>
      </c>
      <c r="N152" s="18">
        <v>1.6805555555555556E-2</v>
      </c>
      <c r="O152" s="19">
        <v>133</v>
      </c>
      <c r="P152" s="18">
        <v>5.8333333333333334E-2</v>
      </c>
      <c r="Q152" s="19">
        <v>150</v>
      </c>
      <c r="R152" s="17">
        <v>151</v>
      </c>
      <c r="S152" s="17">
        <v>22</v>
      </c>
      <c r="T152" s="17">
        <v>60</v>
      </c>
      <c r="U152" s="17" t="s">
        <v>19</v>
      </c>
      <c r="V152" s="20">
        <v>90</v>
      </c>
    </row>
    <row r="153" spans="2:22" ht="15.75" thickBot="1" x14ac:dyDescent="0.25">
      <c r="B153" s="21">
        <v>64</v>
      </c>
      <c r="C153" s="22" t="s">
        <v>141</v>
      </c>
      <c r="D153" s="23" t="s">
        <v>142</v>
      </c>
      <c r="E153" s="24">
        <v>0.45833333333333331</v>
      </c>
      <c r="F153" s="24">
        <v>1.1273148148148148E-2</v>
      </c>
      <c r="G153" s="19">
        <v>142</v>
      </c>
      <c r="H153" s="24">
        <v>1.2962962962962963E-3</v>
      </c>
      <c r="I153" s="19">
        <v>94</v>
      </c>
      <c r="J153" s="24">
        <v>2.6967592592592592E-2</v>
      </c>
      <c r="K153" s="19">
        <v>136</v>
      </c>
      <c r="L153" s="24">
        <v>1.238425925925926E-3</v>
      </c>
      <c r="M153" s="19">
        <v>87</v>
      </c>
      <c r="N153" s="24">
        <v>1.7534722222222222E-2</v>
      </c>
      <c r="O153" s="19">
        <v>156</v>
      </c>
      <c r="P153" s="24">
        <v>5.8333333333333334E-2</v>
      </c>
      <c r="Q153" s="19">
        <v>151</v>
      </c>
      <c r="R153" s="23">
        <v>150</v>
      </c>
      <c r="S153" s="23">
        <v>19</v>
      </c>
      <c r="T153" s="23">
        <v>22</v>
      </c>
      <c r="U153" s="23" t="s">
        <v>36</v>
      </c>
      <c r="V153" s="25">
        <v>61</v>
      </c>
    </row>
    <row r="154" spans="2:22" ht="15.75" thickBot="1" x14ac:dyDescent="0.25">
      <c r="B154" s="15">
        <v>120</v>
      </c>
      <c r="C154" s="16" t="s">
        <v>421</v>
      </c>
      <c r="D154" s="17" t="s">
        <v>77</v>
      </c>
      <c r="E154" s="18">
        <v>0.4513888888888889</v>
      </c>
      <c r="F154" s="18">
        <v>9.9768518518518513E-3</v>
      </c>
      <c r="G154" s="19">
        <v>79</v>
      </c>
      <c r="H154" s="18">
        <v>1.1226851851851851E-3</v>
      </c>
      <c r="I154" s="19">
        <v>66</v>
      </c>
      <c r="J154" s="18">
        <v>3.0833333333333334E-2</v>
      </c>
      <c r="K154" s="19">
        <v>191</v>
      </c>
      <c r="L154" s="18">
        <v>1.1921296296296296E-3</v>
      </c>
      <c r="M154" s="19">
        <v>77</v>
      </c>
      <c r="N154" s="18">
        <v>1.5208333333333334E-2</v>
      </c>
      <c r="O154" s="19">
        <v>84</v>
      </c>
      <c r="P154" s="18">
        <v>5.8356481481481481E-2</v>
      </c>
      <c r="Q154" s="19">
        <v>152</v>
      </c>
      <c r="R154" s="17">
        <v>152</v>
      </c>
      <c r="S154" s="17">
        <v>19</v>
      </c>
      <c r="T154" s="17">
        <v>26</v>
      </c>
      <c r="U154" s="17" t="s">
        <v>19</v>
      </c>
      <c r="V154" s="20">
        <v>91</v>
      </c>
    </row>
    <row r="155" spans="2:22" ht="15.75" thickBot="1" x14ac:dyDescent="0.25">
      <c r="B155" s="15">
        <v>185</v>
      </c>
      <c r="C155" s="16" t="s">
        <v>422</v>
      </c>
      <c r="D155" s="17" t="s">
        <v>423</v>
      </c>
      <c r="E155" s="18">
        <v>0.4513888888888889</v>
      </c>
      <c r="F155" s="18">
        <v>1.224537037037037E-2</v>
      </c>
      <c r="G155" s="19">
        <v>173</v>
      </c>
      <c r="H155" s="18">
        <v>1.5162037037037036E-3</v>
      </c>
      <c r="I155" s="19">
        <v>120</v>
      </c>
      <c r="J155" s="18">
        <v>2.4363425925925927E-2</v>
      </c>
      <c r="K155" s="19">
        <v>64</v>
      </c>
      <c r="L155" s="18">
        <v>1.5277777777777779E-3</v>
      </c>
      <c r="M155" s="19">
        <v>146</v>
      </c>
      <c r="N155" s="18">
        <v>1.8819444444444444E-2</v>
      </c>
      <c r="O155" s="19">
        <v>177</v>
      </c>
      <c r="P155" s="18">
        <v>5.8483796296296298E-2</v>
      </c>
      <c r="Q155" s="19">
        <v>153</v>
      </c>
      <c r="R155" s="17">
        <v>153</v>
      </c>
      <c r="S155" s="17">
        <v>22</v>
      </c>
      <c r="T155" s="17">
        <v>61</v>
      </c>
      <c r="U155" s="17" t="s">
        <v>19</v>
      </c>
      <c r="V155" s="20">
        <v>92</v>
      </c>
    </row>
    <row r="156" spans="2:22" ht="15.75" thickBot="1" x14ac:dyDescent="0.25">
      <c r="B156" s="15">
        <v>161</v>
      </c>
      <c r="C156" s="16" t="s">
        <v>424</v>
      </c>
      <c r="D156" s="17" t="s">
        <v>425</v>
      </c>
      <c r="E156" s="18">
        <v>0.45833333333333331</v>
      </c>
      <c r="F156" s="18">
        <v>9.2592592592592587E-3</v>
      </c>
      <c r="G156" s="19">
        <v>43</v>
      </c>
      <c r="H156" s="18">
        <v>1.7592592592592592E-3</v>
      </c>
      <c r="I156" s="19">
        <v>152</v>
      </c>
      <c r="J156" s="18">
        <v>2.8437500000000001E-2</v>
      </c>
      <c r="K156" s="19">
        <v>166</v>
      </c>
      <c r="L156" s="18">
        <v>1.4236111111111112E-3</v>
      </c>
      <c r="M156" s="19">
        <v>130</v>
      </c>
      <c r="N156" s="18">
        <v>1.7662037037037039E-2</v>
      </c>
      <c r="O156" s="19">
        <v>158</v>
      </c>
      <c r="P156" s="18">
        <v>5.8576388888888886E-2</v>
      </c>
      <c r="Q156" s="19">
        <v>154</v>
      </c>
      <c r="R156" s="17">
        <v>154</v>
      </c>
      <c r="S156" s="17">
        <v>19</v>
      </c>
      <c r="T156" s="17">
        <v>23</v>
      </c>
      <c r="U156" s="17" t="s">
        <v>36</v>
      </c>
      <c r="V156" s="20">
        <v>62</v>
      </c>
    </row>
    <row r="157" spans="2:22" ht="15.75" thickBot="1" x14ac:dyDescent="0.25">
      <c r="B157" s="15">
        <v>92</v>
      </c>
      <c r="C157" s="16" t="s">
        <v>426</v>
      </c>
      <c r="D157" s="17" t="s">
        <v>133</v>
      </c>
      <c r="E157" s="18">
        <v>0.4513888888888889</v>
      </c>
      <c r="F157" s="18">
        <v>1.2060185185185186E-2</v>
      </c>
      <c r="G157" s="19">
        <v>165</v>
      </c>
      <c r="H157" s="18">
        <v>1.7824074074074075E-3</v>
      </c>
      <c r="I157" s="19">
        <v>156</v>
      </c>
      <c r="J157" s="18">
        <v>2.7465277777777779E-2</v>
      </c>
      <c r="K157" s="19">
        <v>148</v>
      </c>
      <c r="L157" s="18">
        <v>1.1111111111111111E-3</v>
      </c>
      <c r="M157" s="19">
        <v>51</v>
      </c>
      <c r="N157" s="18">
        <v>1.6284722222222221E-2</v>
      </c>
      <c r="O157" s="19">
        <v>120</v>
      </c>
      <c r="P157" s="18">
        <v>5.872685185185185E-2</v>
      </c>
      <c r="Q157" s="19">
        <v>155</v>
      </c>
      <c r="R157" s="17">
        <v>155</v>
      </c>
      <c r="S157" s="17">
        <v>22</v>
      </c>
      <c r="T157" s="17">
        <v>62</v>
      </c>
      <c r="U157" s="17" t="s">
        <v>19</v>
      </c>
      <c r="V157" s="20">
        <v>93</v>
      </c>
    </row>
    <row r="158" spans="2:22" ht="15.75" thickBot="1" x14ac:dyDescent="0.25">
      <c r="B158" s="15">
        <v>282</v>
      </c>
      <c r="C158" s="16" t="s">
        <v>427</v>
      </c>
      <c r="D158" s="17" t="s">
        <v>428</v>
      </c>
      <c r="E158" s="18">
        <v>0.45833333333333331</v>
      </c>
      <c r="F158" s="18">
        <v>9.1203703703703707E-3</v>
      </c>
      <c r="G158" s="19">
        <v>34</v>
      </c>
      <c r="H158" s="18">
        <v>1.4351851851851852E-3</v>
      </c>
      <c r="I158" s="19">
        <v>112</v>
      </c>
      <c r="J158" s="18">
        <v>2.7280092592592592E-2</v>
      </c>
      <c r="K158" s="19">
        <v>142</v>
      </c>
      <c r="L158" s="18">
        <v>1.7592592592592592E-3</v>
      </c>
      <c r="M158" s="19">
        <v>171</v>
      </c>
      <c r="N158" s="18">
        <v>1.9259259259259261E-2</v>
      </c>
      <c r="O158" s="19">
        <v>182</v>
      </c>
      <c r="P158" s="18">
        <v>5.8877314814814813E-2</v>
      </c>
      <c r="Q158" s="19">
        <v>156</v>
      </c>
      <c r="R158" s="17">
        <v>156</v>
      </c>
      <c r="S158" s="17">
        <v>19</v>
      </c>
      <c r="T158" s="17">
        <v>24</v>
      </c>
      <c r="U158" s="17" t="s">
        <v>36</v>
      </c>
      <c r="V158" s="20">
        <v>63</v>
      </c>
    </row>
    <row r="159" spans="2:22" ht="15.75" thickBot="1" x14ac:dyDescent="0.25">
      <c r="B159" s="15">
        <v>93</v>
      </c>
      <c r="C159" s="16" t="s">
        <v>429</v>
      </c>
      <c r="D159" s="17" t="s">
        <v>77</v>
      </c>
      <c r="E159" s="18">
        <v>0.45833333333333331</v>
      </c>
      <c r="F159" s="18">
        <v>1.0300925925925925E-2</v>
      </c>
      <c r="G159" s="19">
        <v>94</v>
      </c>
      <c r="H159" s="18">
        <v>1.5972222222222223E-3</v>
      </c>
      <c r="I159" s="19">
        <v>130</v>
      </c>
      <c r="J159" s="18">
        <v>2.417824074074074E-2</v>
      </c>
      <c r="K159" s="19">
        <v>59</v>
      </c>
      <c r="L159" s="18">
        <v>1.4351851851851852E-3</v>
      </c>
      <c r="M159" s="19">
        <v>131</v>
      </c>
      <c r="N159" s="18">
        <v>2.1527777777777778E-2</v>
      </c>
      <c r="O159" s="19">
        <v>195</v>
      </c>
      <c r="P159" s="18">
        <v>5.9062499999999997E-2</v>
      </c>
      <c r="Q159" s="19">
        <v>157</v>
      </c>
      <c r="R159" s="17">
        <v>157</v>
      </c>
      <c r="S159" s="17">
        <v>20</v>
      </c>
      <c r="T159" s="17">
        <v>34</v>
      </c>
      <c r="U159" s="17" t="s">
        <v>36</v>
      </c>
      <c r="V159" s="20">
        <v>64</v>
      </c>
    </row>
    <row r="160" spans="2:22" ht="15.75" thickBot="1" x14ac:dyDescent="0.25">
      <c r="B160" s="15">
        <v>255</v>
      </c>
      <c r="C160" s="16" t="s">
        <v>430</v>
      </c>
      <c r="D160" s="17" t="s">
        <v>155</v>
      </c>
      <c r="E160" s="18">
        <v>0.4513888888888889</v>
      </c>
      <c r="F160" s="18">
        <v>1.4444444444444444E-2</v>
      </c>
      <c r="G160" s="19">
        <v>193</v>
      </c>
      <c r="H160" s="18">
        <v>1.8981481481481482E-3</v>
      </c>
      <c r="I160" s="19">
        <v>164</v>
      </c>
      <c r="J160" s="18">
        <v>2.6053240740740741E-2</v>
      </c>
      <c r="K160" s="19">
        <v>112</v>
      </c>
      <c r="L160" s="18">
        <v>1.5277777777777779E-3</v>
      </c>
      <c r="M160" s="19">
        <v>147</v>
      </c>
      <c r="N160" s="18">
        <v>1.5138888888888889E-2</v>
      </c>
      <c r="O160" s="19">
        <v>80</v>
      </c>
      <c r="P160" s="18">
        <v>5.9097222222222225E-2</v>
      </c>
      <c r="Q160" s="19">
        <v>158</v>
      </c>
      <c r="R160" s="17">
        <v>158</v>
      </c>
      <c r="S160" s="17">
        <v>18</v>
      </c>
      <c r="T160" s="17">
        <v>27</v>
      </c>
      <c r="U160" s="17" t="s">
        <v>19</v>
      </c>
      <c r="V160" s="20">
        <v>94</v>
      </c>
    </row>
    <row r="161" spans="2:22" ht="15.75" thickBot="1" x14ac:dyDescent="0.25">
      <c r="B161" s="26">
        <v>162</v>
      </c>
      <c r="C161" s="27" t="s">
        <v>143</v>
      </c>
      <c r="D161" s="28" t="s">
        <v>77</v>
      </c>
      <c r="E161" s="29">
        <v>0.45833333333333331</v>
      </c>
      <c r="F161" s="29">
        <v>1.0868055555555556E-2</v>
      </c>
      <c r="G161" s="19">
        <v>121</v>
      </c>
      <c r="H161" s="29">
        <v>1.6782407407407408E-3</v>
      </c>
      <c r="I161" s="19">
        <v>141</v>
      </c>
      <c r="J161" s="29">
        <v>2.7372685185185184E-2</v>
      </c>
      <c r="K161" s="19">
        <v>147</v>
      </c>
      <c r="L161" s="29">
        <v>1.7708333333333332E-3</v>
      </c>
      <c r="M161" s="19">
        <v>173</v>
      </c>
      <c r="N161" s="29">
        <v>1.7465277777777777E-2</v>
      </c>
      <c r="O161" s="19">
        <v>152</v>
      </c>
      <c r="P161" s="29">
        <v>5.917824074074074E-2</v>
      </c>
      <c r="Q161" s="19">
        <v>159</v>
      </c>
      <c r="R161" s="28">
        <v>159</v>
      </c>
      <c r="S161" s="28">
        <v>18</v>
      </c>
      <c r="T161" s="28">
        <v>25</v>
      </c>
      <c r="U161" s="28" t="s">
        <v>36</v>
      </c>
      <c r="V161" s="30">
        <v>65</v>
      </c>
    </row>
    <row r="162" spans="2:22" ht="15.75" thickBot="1" x14ac:dyDescent="0.25">
      <c r="B162" s="15">
        <v>70</v>
      </c>
      <c r="C162" s="16" t="s">
        <v>431</v>
      </c>
      <c r="D162" s="17" t="s">
        <v>432</v>
      </c>
      <c r="E162" s="18">
        <v>0.45833333333333331</v>
      </c>
      <c r="F162" s="18">
        <v>1.1111111111111112E-2</v>
      </c>
      <c r="G162" s="19">
        <v>132</v>
      </c>
      <c r="H162" s="18">
        <v>1.6435185185185185E-3</v>
      </c>
      <c r="I162" s="19">
        <v>135</v>
      </c>
      <c r="J162" s="18">
        <v>2.7025462962962963E-2</v>
      </c>
      <c r="K162" s="19">
        <v>137</v>
      </c>
      <c r="L162" s="18">
        <v>1.9097222222222222E-3</v>
      </c>
      <c r="M162" s="19">
        <v>185</v>
      </c>
      <c r="N162" s="18">
        <v>1.7824074074074076E-2</v>
      </c>
      <c r="O162" s="19">
        <v>161</v>
      </c>
      <c r="P162" s="18">
        <v>5.9537037037037034E-2</v>
      </c>
      <c r="Q162" s="19">
        <v>160</v>
      </c>
      <c r="R162" s="17">
        <v>160</v>
      </c>
      <c r="S162" s="17">
        <v>18</v>
      </c>
      <c r="T162" s="17">
        <v>26</v>
      </c>
      <c r="U162" s="17" t="s">
        <v>36</v>
      </c>
      <c r="V162" s="20">
        <v>66</v>
      </c>
    </row>
    <row r="163" spans="2:22" ht="15.75" thickBot="1" x14ac:dyDescent="0.25">
      <c r="B163" s="15">
        <v>323</v>
      </c>
      <c r="C163" s="16" t="s">
        <v>433</v>
      </c>
      <c r="D163" s="17" t="s">
        <v>273</v>
      </c>
      <c r="E163" s="18">
        <v>0.45833333333333331</v>
      </c>
      <c r="F163" s="18">
        <v>9.2824074074074076E-3</v>
      </c>
      <c r="G163" s="19">
        <v>45</v>
      </c>
      <c r="H163" s="18">
        <v>1.3657407407407407E-3</v>
      </c>
      <c r="I163" s="19">
        <v>102</v>
      </c>
      <c r="J163" s="18">
        <v>3.0706018518518518E-2</v>
      </c>
      <c r="K163" s="19">
        <v>190</v>
      </c>
      <c r="L163" s="18">
        <v>1.4351851851851852E-3</v>
      </c>
      <c r="M163" s="19">
        <v>135</v>
      </c>
      <c r="N163" s="18">
        <v>1.7337962962962961E-2</v>
      </c>
      <c r="O163" s="19">
        <v>149</v>
      </c>
      <c r="P163" s="18">
        <v>6.0150462962962961E-2</v>
      </c>
      <c r="Q163" s="19">
        <v>161</v>
      </c>
      <c r="R163" s="17">
        <v>161</v>
      </c>
      <c r="S163" s="17">
        <v>18</v>
      </c>
      <c r="T163" s="17">
        <v>27</v>
      </c>
      <c r="U163" s="17" t="s">
        <v>36</v>
      </c>
      <c r="V163" s="20">
        <v>67</v>
      </c>
    </row>
    <row r="164" spans="2:22" ht="15.75" thickBot="1" x14ac:dyDescent="0.25">
      <c r="B164" s="15">
        <v>156</v>
      </c>
      <c r="C164" s="16" t="s">
        <v>434</v>
      </c>
      <c r="D164" s="17" t="s">
        <v>22</v>
      </c>
      <c r="E164" s="18">
        <v>0.45833333333333331</v>
      </c>
      <c r="F164" s="18">
        <v>1.2650462962962962E-2</v>
      </c>
      <c r="G164" s="19">
        <v>181</v>
      </c>
      <c r="H164" s="18">
        <v>3.2060185185185186E-3</v>
      </c>
      <c r="I164" s="19">
        <v>188</v>
      </c>
      <c r="J164" s="18">
        <v>2.2326388888888889E-2</v>
      </c>
      <c r="K164" s="19">
        <v>19</v>
      </c>
      <c r="L164" s="18">
        <v>1.9444444444444444E-3</v>
      </c>
      <c r="M164" s="19">
        <v>187</v>
      </c>
      <c r="N164" s="18">
        <v>2.0034722222222221E-2</v>
      </c>
      <c r="O164" s="19">
        <v>190</v>
      </c>
      <c r="P164" s="18">
        <v>6.0196759259259262E-2</v>
      </c>
      <c r="Q164" s="19">
        <v>162</v>
      </c>
      <c r="R164" s="17">
        <v>162</v>
      </c>
      <c r="S164" s="17">
        <v>18</v>
      </c>
      <c r="T164" s="17">
        <v>28</v>
      </c>
      <c r="U164" s="17" t="s">
        <v>36</v>
      </c>
      <c r="V164" s="20">
        <v>68</v>
      </c>
    </row>
    <row r="165" spans="2:22" ht="15.75" thickBot="1" x14ac:dyDescent="0.25">
      <c r="B165" s="15">
        <v>137</v>
      </c>
      <c r="C165" s="16" t="s">
        <v>435</v>
      </c>
      <c r="D165" s="17" t="s">
        <v>164</v>
      </c>
      <c r="E165" s="18">
        <v>0.4513888888888889</v>
      </c>
      <c r="F165" s="18">
        <v>1.0821759259259258E-2</v>
      </c>
      <c r="G165" s="19">
        <v>118</v>
      </c>
      <c r="H165" s="18">
        <v>2.638888888888889E-3</v>
      </c>
      <c r="I165" s="19">
        <v>184</v>
      </c>
      <c r="J165" s="18">
        <v>2.7974537037037037E-2</v>
      </c>
      <c r="K165" s="19">
        <v>159</v>
      </c>
      <c r="L165" s="18">
        <v>1.4351851851851852E-3</v>
      </c>
      <c r="M165" s="19">
        <v>134</v>
      </c>
      <c r="N165" s="18">
        <v>1.7395833333333333E-2</v>
      </c>
      <c r="O165" s="19">
        <v>150</v>
      </c>
      <c r="P165" s="18">
        <v>6.0289351851851851E-2</v>
      </c>
      <c r="Q165" s="19">
        <v>163</v>
      </c>
      <c r="R165" s="17">
        <v>163</v>
      </c>
      <c r="S165" s="17">
        <v>19</v>
      </c>
      <c r="T165" s="17">
        <v>28</v>
      </c>
      <c r="U165" s="17" t="s">
        <v>19</v>
      </c>
      <c r="V165" s="20">
        <v>95</v>
      </c>
    </row>
    <row r="166" spans="2:22" ht="15.75" thickBot="1" x14ac:dyDescent="0.25">
      <c r="B166" s="15">
        <v>199</v>
      </c>
      <c r="C166" s="16" t="s">
        <v>436</v>
      </c>
      <c r="D166" s="17" t="s">
        <v>194</v>
      </c>
      <c r="E166" s="18">
        <v>0.45833333333333331</v>
      </c>
      <c r="F166" s="18">
        <v>1.21875E-2</v>
      </c>
      <c r="G166" s="19">
        <v>171</v>
      </c>
      <c r="H166" s="18">
        <v>1.5277777777777779E-3</v>
      </c>
      <c r="I166" s="19">
        <v>121</v>
      </c>
      <c r="J166" s="18">
        <v>2.8356481481481483E-2</v>
      </c>
      <c r="K166" s="19">
        <v>163</v>
      </c>
      <c r="L166" s="18">
        <v>1.3425925925925925E-3</v>
      </c>
      <c r="M166" s="19">
        <v>114</v>
      </c>
      <c r="N166" s="18">
        <v>1.695601851851852E-2</v>
      </c>
      <c r="O166" s="19">
        <v>140</v>
      </c>
      <c r="P166" s="18">
        <v>6.0405092592592594E-2</v>
      </c>
      <c r="Q166" s="19">
        <v>164</v>
      </c>
      <c r="R166" s="17">
        <v>164</v>
      </c>
      <c r="S166" s="17">
        <v>18</v>
      </c>
      <c r="T166" s="17">
        <v>29</v>
      </c>
      <c r="U166" s="17" t="s">
        <v>36</v>
      </c>
      <c r="V166" s="20">
        <v>69</v>
      </c>
    </row>
    <row r="167" spans="2:22" ht="15.75" thickBot="1" x14ac:dyDescent="0.25">
      <c r="B167" s="15">
        <v>262</v>
      </c>
      <c r="C167" s="16" t="s">
        <v>437</v>
      </c>
      <c r="D167" s="17" t="s">
        <v>54</v>
      </c>
      <c r="E167" s="18">
        <v>0.45833333333333331</v>
      </c>
      <c r="F167" s="18">
        <v>1.0856481481481481E-2</v>
      </c>
      <c r="G167" s="19">
        <v>120</v>
      </c>
      <c r="H167" s="18">
        <v>1.7013888888888888E-3</v>
      </c>
      <c r="I167" s="19">
        <v>147</v>
      </c>
      <c r="J167" s="18">
        <v>2.886574074074074E-2</v>
      </c>
      <c r="K167" s="19">
        <v>170</v>
      </c>
      <c r="L167" s="18">
        <v>1.4814814814814814E-3</v>
      </c>
      <c r="M167" s="19">
        <v>141</v>
      </c>
      <c r="N167" s="18">
        <v>1.7511574074074075E-2</v>
      </c>
      <c r="O167" s="19">
        <v>155</v>
      </c>
      <c r="P167" s="18">
        <v>6.0439814814814814E-2</v>
      </c>
      <c r="Q167" s="19">
        <v>165</v>
      </c>
      <c r="R167" s="17">
        <v>165</v>
      </c>
      <c r="S167" s="17">
        <v>19</v>
      </c>
      <c r="T167" s="17">
        <v>30</v>
      </c>
      <c r="U167" s="17" t="s">
        <v>36</v>
      </c>
      <c r="V167" s="20">
        <v>70</v>
      </c>
    </row>
    <row r="168" spans="2:22" ht="15.75" thickBot="1" x14ac:dyDescent="0.25">
      <c r="B168" s="15">
        <v>638</v>
      </c>
      <c r="C168" s="16" t="s">
        <v>438</v>
      </c>
      <c r="D168" s="17" t="s">
        <v>339</v>
      </c>
      <c r="E168" s="18">
        <v>0.4513888888888889</v>
      </c>
      <c r="F168" s="18">
        <v>1.0358796296296297E-2</v>
      </c>
      <c r="G168" s="19">
        <v>97</v>
      </c>
      <c r="H168" s="18">
        <v>3.7384259259259259E-3</v>
      </c>
      <c r="I168" s="19">
        <v>189</v>
      </c>
      <c r="J168" s="18">
        <v>2.929398148148148E-2</v>
      </c>
      <c r="K168" s="19">
        <v>175</v>
      </c>
      <c r="L168" s="18">
        <v>1.9097222222222222E-3</v>
      </c>
      <c r="M168" s="19">
        <v>186</v>
      </c>
      <c r="N168" s="18">
        <v>1.5381944444444445E-2</v>
      </c>
      <c r="O168" s="19">
        <v>94</v>
      </c>
      <c r="P168" s="18">
        <v>6.0717592592592594E-2</v>
      </c>
      <c r="Q168" s="19">
        <v>166</v>
      </c>
      <c r="R168" s="17">
        <v>166</v>
      </c>
      <c r="S168" s="17">
        <v>21</v>
      </c>
      <c r="T168" s="17">
        <v>63</v>
      </c>
      <c r="U168" s="17" t="s">
        <v>19</v>
      </c>
      <c r="V168" s="20">
        <v>96</v>
      </c>
    </row>
    <row r="169" spans="2:22" ht="15.75" thickBot="1" x14ac:dyDescent="0.25">
      <c r="B169" s="15">
        <v>107</v>
      </c>
      <c r="C169" s="16" t="s">
        <v>439</v>
      </c>
      <c r="D169" s="17" t="s">
        <v>77</v>
      </c>
      <c r="E169" s="18">
        <v>0.45833333333333331</v>
      </c>
      <c r="F169" s="18">
        <v>1.0289351851851852E-2</v>
      </c>
      <c r="G169" s="19">
        <v>92</v>
      </c>
      <c r="H169" s="18">
        <v>1.3773148148148147E-3</v>
      </c>
      <c r="I169" s="19">
        <v>105</v>
      </c>
      <c r="J169" s="18">
        <v>2.9756944444444444E-2</v>
      </c>
      <c r="K169" s="19">
        <v>184</v>
      </c>
      <c r="L169" s="18">
        <v>1.8981481481481482E-3</v>
      </c>
      <c r="M169" s="19">
        <v>184</v>
      </c>
      <c r="N169" s="18">
        <v>1.7465277777777777E-2</v>
      </c>
      <c r="O169" s="19">
        <v>153</v>
      </c>
      <c r="P169" s="18">
        <v>6.0798611111111109E-2</v>
      </c>
      <c r="Q169" s="19">
        <v>167</v>
      </c>
      <c r="R169" s="17">
        <v>167</v>
      </c>
      <c r="S169" s="17">
        <v>19</v>
      </c>
      <c r="T169" s="17">
        <v>31</v>
      </c>
      <c r="U169" s="17" t="s">
        <v>36</v>
      </c>
      <c r="V169" s="20">
        <v>71</v>
      </c>
    </row>
    <row r="170" spans="2:22" ht="15.75" thickBot="1" x14ac:dyDescent="0.25">
      <c r="B170" s="15">
        <v>231</v>
      </c>
      <c r="C170" s="16" t="s">
        <v>440</v>
      </c>
      <c r="D170" s="17" t="s">
        <v>170</v>
      </c>
      <c r="E170" s="18">
        <v>0.4513888888888889</v>
      </c>
      <c r="F170" s="18">
        <v>0</v>
      </c>
      <c r="G170" s="19"/>
      <c r="H170" s="18">
        <v>0</v>
      </c>
      <c r="I170" s="19"/>
      <c r="J170" s="18">
        <v>0</v>
      </c>
      <c r="K170" s="19"/>
      <c r="L170" s="18">
        <v>0</v>
      </c>
      <c r="M170" s="19"/>
      <c r="N170" s="18">
        <v>6.0879629629629631E-2</v>
      </c>
      <c r="O170" s="19">
        <v>200</v>
      </c>
      <c r="P170" s="18">
        <v>6.0879629629629631E-2</v>
      </c>
      <c r="Q170" s="19">
        <v>168</v>
      </c>
      <c r="R170" s="17">
        <v>168</v>
      </c>
      <c r="S170" s="17">
        <v>20</v>
      </c>
      <c r="T170" s="17">
        <v>64</v>
      </c>
      <c r="U170" s="17" t="s">
        <v>19</v>
      </c>
      <c r="V170" s="20">
        <v>97</v>
      </c>
    </row>
    <row r="171" spans="2:22" ht="15.75" thickBot="1" x14ac:dyDescent="0.25">
      <c r="B171" s="15">
        <v>224</v>
      </c>
      <c r="C171" s="16" t="s">
        <v>441</v>
      </c>
      <c r="D171" s="17" t="s">
        <v>442</v>
      </c>
      <c r="E171" s="18">
        <v>0.4513888888888889</v>
      </c>
      <c r="F171" s="18">
        <v>1.2349537037037037E-2</v>
      </c>
      <c r="G171" s="19">
        <v>176</v>
      </c>
      <c r="H171" s="18">
        <v>2.8472222222222223E-3</v>
      </c>
      <c r="I171" s="19">
        <v>186</v>
      </c>
      <c r="J171" s="18">
        <v>2.7731481481481482E-2</v>
      </c>
      <c r="K171" s="19">
        <v>153</v>
      </c>
      <c r="L171" s="18">
        <v>1.0069444444444444E-3</v>
      </c>
      <c r="M171" s="19">
        <v>35</v>
      </c>
      <c r="N171" s="18">
        <v>1.7002314814814814E-2</v>
      </c>
      <c r="O171" s="19">
        <v>143</v>
      </c>
      <c r="P171" s="18">
        <v>6.0960648148148146E-2</v>
      </c>
      <c r="Q171" s="19">
        <v>169</v>
      </c>
      <c r="R171" s="17">
        <v>169</v>
      </c>
      <c r="S171" s="17">
        <v>18</v>
      </c>
      <c r="T171" s="17">
        <v>29</v>
      </c>
      <c r="U171" s="17" t="s">
        <v>19</v>
      </c>
      <c r="V171" s="20">
        <v>98</v>
      </c>
    </row>
    <row r="172" spans="2:22" ht="15.75" thickBot="1" x14ac:dyDescent="0.25">
      <c r="B172" s="15">
        <v>249</v>
      </c>
      <c r="C172" s="16" t="s">
        <v>443</v>
      </c>
      <c r="D172" s="17" t="s">
        <v>77</v>
      </c>
      <c r="E172" s="18">
        <v>0.45833333333333331</v>
      </c>
      <c r="F172" s="18">
        <v>1.2060185185185186E-2</v>
      </c>
      <c r="G172" s="19">
        <v>166</v>
      </c>
      <c r="H172" s="18">
        <v>1.3657407407407407E-3</v>
      </c>
      <c r="I172" s="19">
        <v>103</v>
      </c>
      <c r="J172" s="18">
        <v>2.6898148148148147E-2</v>
      </c>
      <c r="K172" s="19">
        <v>133</v>
      </c>
      <c r="L172" s="18">
        <v>1.3310185185185185E-3</v>
      </c>
      <c r="M172" s="19">
        <v>111</v>
      </c>
      <c r="N172" s="18">
        <v>1.9282407407407408E-2</v>
      </c>
      <c r="O172" s="19">
        <v>183</v>
      </c>
      <c r="P172" s="18">
        <v>6.0960648148148146E-2</v>
      </c>
      <c r="Q172" s="19">
        <v>170</v>
      </c>
      <c r="R172" s="17">
        <v>170</v>
      </c>
      <c r="S172" s="17">
        <v>20</v>
      </c>
      <c r="T172" s="17">
        <v>35</v>
      </c>
      <c r="U172" s="17" t="s">
        <v>36</v>
      </c>
      <c r="V172" s="20">
        <v>72</v>
      </c>
    </row>
    <row r="173" spans="2:22" ht="15.75" thickBot="1" x14ac:dyDescent="0.25">
      <c r="B173" s="15">
        <v>641</v>
      </c>
      <c r="C173" s="16" t="s">
        <v>444</v>
      </c>
      <c r="D173" s="17" t="s">
        <v>64</v>
      </c>
      <c r="E173" s="18">
        <v>0.45833333333333331</v>
      </c>
      <c r="F173" s="18">
        <v>1.0844907407407407E-2</v>
      </c>
      <c r="G173" s="19">
        <v>119</v>
      </c>
      <c r="H173" s="18">
        <v>2.5925925925925925E-3</v>
      </c>
      <c r="I173" s="19">
        <v>182</v>
      </c>
      <c r="J173" s="18">
        <v>2.9525462962962962E-2</v>
      </c>
      <c r="K173" s="19">
        <v>180</v>
      </c>
      <c r="L173" s="18">
        <v>1.0995370370370371E-3</v>
      </c>
      <c r="M173" s="19">
        <v>49</v>
      </c>
      <c r="N173" s="18">
        <v>1.7152777777777777E-2</v>
      </c>
      <c r="O173" s="19">
        <v>144</v>
      </c>
      <c r="P173" s="18">
        <v>6.1238425925925925E-2</v>
      </c>
      <c r="Q173" s="19">
        <v>171</v>
      </c>
      <c r="R173" s="17">
        <v>171</v>
      </c>
      <c r="S173" s="17">
        <v>19</v>
      </c>
      <c r="T173" s="17">
        <v>32</v>
      </c>
      <c r="U173" s="17" t="s">
        <v>36</v>
      </c>
      <c r="V173" s="20">
        <v>73</v>
      </c>
    </row>
    <row r="174" spans="2:22" ht="15.75" thickBot="1" x14ac:dyDescent="0.25">
      <c r="B174" s="15">
        <v>261</v>
      </c>
      <c r="C174" s="16" t="s">
        <v>445</v>
      </c>
      <c r="D174" s="17" t="s">
        <v>146</v>
      </c>
      <c r="E174" s="18">
        <v>0.45833333333333331</v>
      </c>
      <c r="F174" s="18">
        <v>1.2592592592592593E-2</v>
      </c>
      <c r="G174" s="19">
        <v>180</v>
      </c>
      <c r="H174" s="18">
        <v>1.7592592592592592E-3</v>
      </c>
      <c r="I174" s="19">
        <v>153</v>
      </c>
      <c r="J174" s="18">
        <v>2.6898148148148147E-2</v>
      </c>
      <c r="K174" s="19">
        <v>134</v>
      </c>
      <c r="L174" s="18">
        <v>1.8402777777777777E-3</v>
      </c>
      <c r="M174" s="19">
        <v>182</v>
      </c>
      <c r="N174" s="18">
        <v>1.8148148148148149E-2</v>
      </c>
      <c r="O174" s="19">
        <v>169</v>
      </c>
      <c r="P174" s="18">
        <v>6.1261574074074072E-2</v>
      </c>
      <c r="Q174" s="19">
        <v>172</v>
      </c>
      <c r="R174" s="17">
        <v>172</v>
      </c>
      <c r="S174" s="17">
        <v>19</v>
      </c>
      <c r="T174" s="17">
        <v>33</v>
      </c>
      <c r="U174" s="17" t="s">
        <v>36</v>
      </c>
      <c r="V174" s="20">
        <v>74</v>
      </c>
    </row>
    <row r="175" spans="2:22" ht="15.75" thickBot="1" x14ac:dyDescent="0.25">
      <c r="B175" s="15">
        <v>647</v>
      </c>
      <c r="C175" s="16" t="s">
        <v>182</v>
      </c>
      <c r="D175" s="17" t="s">
        <v>43</v>
      </c>
      <c r="E175" s="18">
        <v>0.45833333333333331</v>
      </c>
      <c r="F175" s="18">
        <v>1.173611111111111E-2</v>
      </c>
      <c r="G175" s="19">
        <v>159</v>
      </c>
      <c r="H175" s="18">
        <v>1.1342592592592593E-3</v>
      </c>
      <c r="I175" s="19">
        <v>70</v>
      </c>
      <c r="J175" s="18">
        <v>2.8032407407407409E-2</v>
      </c>
      <c r="K175" s="19">
        <v>160</v>
      </c>
      <c r="L175" s="18">
        <v>1.2847222222222223E-3</v>
      </c>
      <c r="M175" s="19">
        <v>97</v>
      </c>
      <c r="N175" s="18">
        <v>1.9085648148148147E-2</v>
      </c>
      <c r="O175" s="19">
        <v>180</v>
      </c>
      <c r="P175" s="18">
        <v>6.1296296296296293E-2</v>
      </c>
      <c r="Q175" s="19">
        <v>173</v>
      </c>
      <c r="R175" s="17">
        <v>173</v>
      </c>
      <c r="S175" s="17">
        <v>20</v>
      </c>
      <c r="T175" s="17">
        <v>36</v>
      </c>
      <c r="U175" s="17" t="s">
        <v>36</v>
      </c>
      <c r="V175" s="20">
        <v>75</v>
      </c>
    </row>
    <row r="176" spans="2:22" ht="15.75" thickBot="1" x14ac:dyDescent="0.25">
      <c r="B176" s="15">
        <v>152</v>
      </c>
      <c r="C176" s="16" t="s">
        <v>446</v>
      </c>
      <c r="D176" s="17" t="s">
        <v>77</v>
      </c>
      <c r="E176" s="18">
        <v>0.45833333333333331</v>
      </c>
      <c r="F176" s="18">
        <v>1.3854166666666667E-2</v>
      </c>
      <c r="G176" s="19">
        <v>189</v>
      </c>
      <c r="H176" s="18">
        <v>9.6064814814814819E-4</v>
      </c>
      <c r="I176" s="19">
        <v>48</v>
      </c>
      <c r="J176" s="18">
        <v>2.7372685185185184E-2</v>
      </c>
      <c r="K176" s="19">
        <v>146</v>
      </c>
      <c r="L176" s="18">
        <v>1.5162037037037036E-3</v>
      </c>
      <c r="M176" s="19">
        <v>144</v>
      </c>
      <c r="N176" s="18">
        <v>1.7893518518518517E-2</v>
      </c>
      <c r="O176" s="19">
        <v>165</v>
      </c>
      <c r="P176" s="18">
        <v>6.1620370370370367E-2</v>
      </c>
      <c r="Q176" s="19">
        <v>174</v>
      </c>
      <c r="R176" s="17">
        <v>174</v>
      </c>
      <c r="S176" s="17">
        <v>24</v>
      </c>
      <c r="T176" s="17">
        <v>37</v>
      </c>
      <c r="U176" s="17" t="s">
        <v>36</v>
      </c>
      <c r="V176" s="20">
        <v>76</v>
      </c>
    </row>
    <row r="177" spans="2:22" ht="15.75" thickBot="1" x14ac:dyDescent="0.25">
      <c r="B177" s="15">
        <v>104</v>
      </c>
      <c r="C177" s="16" t="s">
        <v>447</v>
      </c>
      <c r="D177" s="17" t="s">
        <v>273</v>
      </c>
      <c r="E177" s="18">
        <v>0.45833333333333331</v>
      </c>
      <c r="F177" s="18">
        <v>9.780092592592592E-3</v>
      </c>
      <c r="G177" s="19">
        <v>67</v>
      </c>
      <c r="H177" s="18">
        <v>1.5740740740740741E-3</v>
      </c>
      <c r="I177" s="19">
        <v>125</v>
      </c>
      <c r="J177" s="18">
        <v>2.9016203703703704E-2</v>
      </c>
      <c r="K177" s="19">
        <v>173</v>
      </c>
      <c r="L177" s="18">
        <v>1.6203703703703703E-3</v>
      </c>
      <c r="M177" s="19">
        <v>159</v>
      </c>
      <c r="N177" s="18">
        <v>1.9641203703703702E-2</v>
      </c>
      <c r="O177" s="19">
        <v>187</v>
      </c>
      <c r="P177" s="18">
        <v>6.1655092592592595E-2</v>
      </c>
      <c r="Q177" s="19">
        <v>175</v>
      </c>
      <c r="R177" s="17">
        <v>175</v>
      </c>
      <c r="S177" s="17">
        <v>18</v>
      </c>
      <c r="T177" s="17">
        <v>34</v>
      </c>
      <c r="U177" s="17" t="s">
        <v>36</v>
      </c>
      <c r="V177" s="20">
        <v>77</v>
      </c>
    </row>
    <row r="178" spans="2:22" ht="15.75" thickBot="1" x14ac:dyDescent="0.25">
      <c r="B178" s="15">
        <v>174</v>
      </c>
      <c r="C178" s="16" t="s">
        <v>448</v>
      </c>
      <c r="D178" s="17" t="s">
        <v>133</v>
      </c>
      <c r="E178" s="18">
        <v>0.45833333333333331</v>
      </c>
      <c r="F178" s="18">
        <v>1.068287037037037E-2</v>
      </c>
      <c r="G178" s="19">
        <v>109</v>
      </c>
      <c r="H178" s="18">
        <v>1.7476851851851852E-3</v>
      </c>
      <c r="I178" s="19">
        <v>151</v>
      </c>
      <c r="J178" s="18">
        <v>2.9374999999999998E-2</v>
      </c>
      <c r="K178" s="19">
        <v>176</v>
      </c>
      <c r="L178" s="18">
        <v>1.3078703703703703E-3</v>
      </c>
      <c r="M178" s="19">
        <v>105</v>
      </c>
      <c r="N178" s="18">
        <v>1.8692129629629628E-2</v>
      </c>
      <c r="O178" s="19">
        <v>175</v>
      </c>
      <c r="P178" s="18">
        <v>6.1828703703703705E-2</v>
      </c>
      <c r="Q178" s="19">
        <v>176</v>
      </c>
      <c r="R178" s="17">
        <v>176</v>
      </c>
      <c r="S178" s="17">
        <v>22</v>
      </c>
      <c r="T178" s="17">
        <v>38</v>
      </c>
      <c r="U178" s="17" t="s">
        <v>36</v>
      </c>
      <c r="V178" s="20">
        <v>78</v>
      </c>
    </row>
    <row r="179" spans="2:22" ht="15.75" thickBot="1" x14ac:dyDescent="0.25">
      <c r="B179" s="15">
        <v>233</v>
      </c>
      <c r="C179" s="16" t="s">
        <v>449</v>
      </c>
      <c r="D179" s="17" t="s">
        <v>64</v>
      </c>
      <c r="E179" s="18">
        <v>0.45833333333333331</v>
      </c>
      <c r="F179" s="18">
        <v>1.0532407407407407E-2</v>
      </c>
      <c r="G179" s="19">
        <v>102</v>
      </c>
      <c r="H179" s="18">
        <v>2.0486111111111113E-3</v>
      </c>
      <c r="I179" s="19">
        <v>169</v>
      </c>
      <c r="J179" s="18">
        <v>2.9988425925925925E-2</v>
      </c>
      <c r="K179" s="19">
        <v>186</v>
      </c>
      <c r="L179" s="18">
        <v>1.1921296296296296E-3</v>
      </c>
      <c r="M179" s="19">
        <v>76</v>
      </c>
      <c r="N179" s="18">
        <v>1.8090277777777778E-2</v>
      </c>
      <c r="O179" s="19">
        <v>168</v>
      </c>
      <c r="P179" s="18">
        <v>6.1874999999999999E-2</v>
      </c>
      <c r="Q179" s="19">
        <v>177</v>
      </c>
      <c r="R179" s="17">
        <v>177</v>
      </c>
      <c r="S179" s="17">
        <v>25</v>
      </c>
      <c r="T179" s="17">
        <v>6</v>
      </c>
      <c r="U179" s="17" t="s">
        <v>36</v>
      </c>
      <c r="V179" s="20">
        <v>79</v>
      </c>
    </row>
    <row r="180" spans="2:22" ht="15.75" thickBot="1" x14ac:dyDescent="0.25">
      <c r="B180" s="15">
        <v>177</v>
      </c>
      <c r="C180" s="16" t="s">
        <v>450</v>
      </c>
      <c r="D180" s="17" t="s">
        <v>451</v>
      </c>
      <c r="E180" s="18">
        <v>0.4513888888888889</v>
      </c>
      <c r="F180" s="18">
        <v>9.780092592592592E-3</v>
      </c>
      <c r="G180" s="19">
        <v>68</v>
      </c>
      <c r="H180" s="18">
        <v>1.9907407407407408E-3</v>
      </c>
      <c r="I180" s="19">
        <v>168</v>
      </c>
      <c r="J180" s="18">
        <v>3.215277777777778E-2</v>
      </c>
      <c r="K180" s="19">
        <v>194</v>
      </c>
      <c r="L180" s="18">
        <v>1.0300925925925926E-3</v>
      </c>
      <c r="M180" s="19">
        <v>39</v>
      </c>
      <c r="N180" s="18">
        <v>1.6898148148148148E-2</v>
      </c>
      <c r="O180" s="19">
        <v>137</v>
      </c>
      <c r="P180" s="18">
        <v>6.1886574074074073E-2</v>
      </c>
      <c r="Q180" s="19">
        <v>178</v>
      </c>
      <c r="R180" s="17">
        <v>178</v>
      </c>
      <c r="S180" s="17">
        <v>19</v>
      </c>
      <c r="T180" s="17">
        <v>30</v>
      </c>
      <c r="U180" s="17" t="s">
        <v>19</v>
      </c>
      <c r="V180" s="20">
        <v>99</v>
      </c>
    </row>
    <row r="181" spans="2:22" ht="15.75" thickBot="1" x14ac:dyDescent="0.25">
      <c r="B181" s="15">
        <v>241</v>
      </c>
      <c r="C181" s="16" t="s">
        <v>139</v>
      </c>
      <c r="D181" s="17" t="s">
        <v>452</v>
      </c>
      <c r="E181" s="18">
        <v>0.45833333333333331</v>
      </c>
      <c r="F181" s="18">
        <v>1.0601851851851852E-2</v>
      </c>
      <c r="G181" s="19">
        <v>107</v>
      </c>
      <c r="H181" s="18">
        <v>1.5740740740740741E-3</v>
      </c>
      <c r="I181" s="19">
        <v>127</v>
      </c>
      <c r="J181" s="18">
        <v>2.8564814814814814E-2</v>
      </c>
      <c r="K181" s="19">
        <v>167</v>
      </c>
      <c r="L181" s="18">
        <v>1.3888888888888889E-3</v>
      </c>
      <c r="M181" s="19">
        <v>125</v>
      </c>
      <c r="N181" s="18">
        <v>1.9849537037037037E-2</v>
      </c>
      <c r="O181" s="19">
        <v>189</v>
      </c>
      <c r="P181" s="18">
        <v>6.2013888888888889E-2</v>
      </c>
      <c r="Q181" s="19">
        <v>179</v>
      </c>
      <c r="R181" s="17">
        <v>179</v>
      </c>
      <c r="S181" s="17">
        <v>18</v>
      </c>
      <c r="T181" s="17">
        <v>35</v>
      </c>
      <c r="U181" s="17" t="s">
        <v>36</v>
      </c>
      <c r="V181" s="20">
        <v>80</v>
      </c>
    </row>
    <row r="182" spans="2:22" ht="15.75" thickBot="1" x14ac:dyDescent="0.25">
      <c r="B182" s="15">
        <v>292</v>
      </c>
      <c r="C182" s="16" t="s">
        <v>453</v>
      </c>
      <c r="D182" s="17" t="s">
        <v>454</v>
      </c>
      <c r="E182" s="18">
        <v>0.4513888888888889</v>
      </c>
      <c r="F182" s="18">
        <v>1.0763888888888889E-2</v>
      </c>
      <c r="G182" s="19">
        <v>114</v>
      </c>
      <c r="H182" s="18">
        <v>2.638888888888889E-3</v>
      </c>
      <c r="I182" s="19">
        <v>183</v>
      </c>
      <c r="J182" s="18">
        <v>3.2604166666666663E-2</v>
      </c>
      <c r="K182" s="19">
        <v>195</v>
      </c>
      <c r="L182" s="18">
        <v>2.476851851851852E-3</v>
      </c>
      <c r="M182" s="19">
        <v>193</v>
      </c>
      <c r="N182" s="18">
        <v>1.3865740740740741E-2</v>
      </c>
      <c r="O182" s="19">
        <v>35</v>
      </c>
      <c r="P182" s="18">
        <v>6.2384259259259257E-2</v>
      </c>
      <c r="Q182" s="19">
        <v>180</v>
      </c>
      <c r="R182" s="17">
        <v>180</v>
      </c>
      <c r="S182" s="17">
        <v>19</v>
      </c>
      <c r="T182" s="17">
        <v>31</v>
      </c>
      <c r="U182" s="17" t="s">
        <v>19</v>
      </c>
      <c r="V182" s="20">
        <v>100</v>
      </c>
    </row>
    <row r="183" spans="2:22" ht="15.75" thickBot="1" x14ac:dyDescent="0.25">
      <c r="B183" s="15">
        <v>219</v>
      </c>
      <c r="C183" s="16" t="s">
        <v>455</v>
      </c>
      <c r="D183" s="17" t="s">
        <v>456</v>
      </c>
      <c r="E183" s="18">
        <v>0.4513888888888889</v>
      </c>
      <c r="F183" s="18">
        <v>1.1886574074074074E-2</v>
      </c>
      <c r="G183" s="19">
        <v>162</v>
      </c>
      <c r="H183" s="18">
        <v>2.8587962962962963E-3</v>
      </c>
      <c r="I183" s="19">
        <v>187</v>
      </c>
      <c r="J183" s="18">
        <v>3.0300925925925926E-2</v>
      </c>
      <c r="K183" s="19">
        <v>189</v>
      </c>
      <c r="L183" s="18">
        <v>1.1458333333333333E-3</v>
      </c>
      <c r="M183" s="19">
        <v>62</v>
      </c>
      <c r="N183" s="18">
        <v>1.6342592592592593E-2</v>
      </c>
      <c r="O183" s="19">
        <v>123</v>
      </c>
      <c r="P183" s="18">
        <v>6.2569444444444441E-2</v>
      </c>
      <c r="Q183" s="19">
        <v>181</v>
      </c>
      <c r="R183" s="17">
        <v>181</v>
      </c>
      <c r="S183" s="17">
        <v>19</v>
      </c>
      <c r="T183" s="17">
        <v>32</v>
      </c>
      <c r="U183" s="17" t="s">
        <v>19</v>
      </c>
      <c r="V183" s="20">
        <v>101</v>
      </c>
    </row>
    <row r="184" spans="2:22" ht="15.75" thickBot="1" x14ac:dyDescent="0.25">
      <c r="B184" s="15">
        <v>206</v>
      </c>
      <c r="C184" s="16" t="s">
        <v>457</v>
      </c>
      <c r="D184" s="17" t="s">
        <v>164</v>
      </c>
      <c r="E184" s="18">
        <v>0.45833333333333331</v>
      </c>
      <c r="F184" s="18">
        <v>1.0162037037037037E-2</v>
      </c>
      <c r="G184" s="19">
        <v>86</v>
      </c>
      <c r="H184" s="18">
        <v>2.1180555555555558E-3</v>
      </c>
      <c r="I184" s="19">
        <v>171</v>
      </c>
      <c r="J184" s="18">
        <v>2.8877314814814814E-2</v>
      </c>
      <c r="K184" s="19">
        <v>171</v>
      </c>
      <c r="L184" s="18">
        <v>1.6319444444444445E-3</v>
      </c>
      <c r="M184" s="19">
        <v>161</v>
      </c>
      <c r="N184" s="18">
        <v>1.9780092592592592E-2</v>
      </c>
      <c r="O184" s="19">
        <v>188</v>
      </c>
      <c r="P184" s="18">
        <v>6.2592592592592589E-2</v>
      </c>
      <c r="Q184" s="19">
        <v>182</v>
      </c>
      <c r="R184" s="17">
        <v>182</v>
      </c>
      <c r="S184" s="17">
        <v>21</v>
      </c>
      <c r="T184" s="17">
        <v>39</v>
      </c>
      <c r="U184" s="17" t="s">
        <v>36</v>
      </c>
      <c r="V184" s="20">
        <v>81</v>
      </c>
    </row>
    <row r="185" spans="2:22" ht="15.75" thickBot="1" x14ac:dyDescent="0.25">
      <c r="B185" s="15">
        <v>315</v>
      </c>
      <c r="C185" s="16" t="s">
        <v>458</v>
      </c>
      <c r="D185" s="17" t="s">
        <v>459</v>
      </c>
      <c r="E185" s="18">
        <v>0.4513888888888889</v>
      </c>
      <c r="F185" s="18">
        <v>1.3530092592592592E-2</v>
      </c>
      <c r="G185" s="19">
        <v>188</v>
      </c>
      <c r="H185" s="18">
        <v>2.5115740740740741E-3</v>
      </c>
      <c r="I185" s="19">
        <v>180</v>
      </c>
      <c r="J185" s="18">
        <v>2.6041666666666668E-2</v>
      </c>
      <c r="K185" s="19">
        <v>111</v>
      </c>
      <c r="L185" s="18">
        <v>1.3773148148148147E-3</v>
      </c>
      <c r="M185" s="19">
        <v>121</v>
      </c>
      <c r="N185" s="18">
        <v>1.951388888888889E-2</v>
      </c>
      <c r="O185" s="19">
        <v>185</v>
      </c>
      <c r="P185" s="18">
        <v>6.2986111111111118E-2</v>
      </c>
      <c r="Q185" s="19">
        <v>183</v>
      </c>
      <c r="R185" s="17">
        <v>183</v>
      </c>
      <c r="S185" s="17">
        <v>29</v>
      </c>
      <c r="T185" s="17">
        <v>5</v>
      </c>
      <c r="U185" s="17" t="s">
        <v>19</v>
      </c>
      <c r="V185" s="20">
        <v>102</v>
      </c>
    </row>
    <row r="186" spans="2:22" ht="15.75" thickBot="1" x14ac:dyDescent="0.25">
      <c r="B186" s="15">
        <v>237</v>
      </c>
      <c r="C186" s="16" t="s">
        <v>460</v>
      </c>
      <c r="D186" s="17" t="s">
        <v>461</v>
      </c>
      <c r="E186" s="18">
        <v>0.4513888888888889</v>
      </c>
      <c r="F186" s="18">
        <v>1.2326388888888888E-2</v>
      </c>
      <c r="G186" s="19">
        <v>175</v>
      </c>
      <c r="H186" s="18">
        <v>1.736111111111111E-3</v>
      </c>
      <c r="I186" s="19">
        <v>150</v>
      </c>
      <c r="J186" s="18">
        <v>3.0266203703703705E-2</v>
      </c>
      <c r="K186" s="19">
        <v>188</v>
      </c>
      <c r="L186" s="18">
        <v>1.8287037037037037E-3</v>
      </c>
      <c r="M186" s="19">
        <v>181</v>
      </c>
      <c r="N186" s="18">
        <v>1.6886574074074075E-2</v>
      </c>
      <c r="O186" s="19">
        <v>136</v>
      </c>
      <c r="P186" s="18">
        <v>6.3067129629629626E-2</v>
      </c>
      <c r="Q186" s="19">
        <v>184</v>
      </c>
      <c r="R186" s="17">
        <v>184</v>
      </c>
      <c r="S186" s="17">
        <v>19</v>
      </c>
      <c r="T186" s="17">
        <v>33</v>
      </c>
      <c r="U186" s="17" t="s">
        <v>19</v>
      </c>
      <c r="V186" s="20">
        <v>103</v>
      </c>
    </row>
    <row r="187" spans="2:22" ht="15.75" thickBot="1" x14ac:dyDescent="0.25">
      <c r="B187" s="15">
        <v>108</v>
      </c>
      <c r="C187" s="16" t="s">
        <v>462</v>
      </c>
      <c r="D187" s="17" t="s">
        <v>155</v>
      </c>
      <c r="E187" s="18">
        <v>0.45833333333333331</v>
      </c>
      <c r="F187" s="18">
        <v>1.1099537037037036E-2</v>
      </c>
      <c r="G187" s="19">
        <v>131</v>
      </c>
      <c r="H187" s="18">
        <v>1.4583333333333334E-3</v>
      </c>
      <c r="I187" s="19">
        <v>116</v>
      </c>
      <c r="J187" s="18">
        <v>2.9131944444444443E-2</v>
      </c>
      <c r="K187" s="19">
        <v>174</v>
      </c>
      <c r="L187" s="18">
        <v>1.25E-3</v>
      </c>
      <c r="M187" s="19">
        <v>90</v>
      </c>
      <c r="N187" s="18">
        <v>2.0208333333333332E-2</v>
      </c>
      <c r="O187" s="19">
        <v>191</v>
      </c>
      <c r="P187" s="18">
        <v>6.3171296296296295E-2</v>
      </c>
      <c r="Q187" s="19">
        <v>185</v>
      </c>
      <c r="R187" s="17">
        <v>185</v>
      </c>
      <c r="S187" s="17">
        <v>19</v>
      </c>
      <c r="T187" s="17">
        <v>36</v>
      </c>
      <c r="U187" s="17" t="s">
        <v>36</v>
      </c>
      <c r="V187" s="20">
        <v>82</v>
      </c>
    </row>
    <row r="188" spans="2:22" ht="15.75" thickBot="1" x14ac:dyDescent="0.25">
      <c r="B188" s="15">
        <v>67</v>
      </c>
      <c r="C188" s="16" t="s">
        <v>463</v>
      </c>
      <c r="D188" s="17" t="s">
        <v>40</v>
      </c>
      <c r="E188" s="18">
        <v>0.4513888888888889</v>
      </c>
      <c r="F188" s="18">
        <v>1.1550925925925926E-2</v>
      </c>
      <c r="G188" s="19">
        <v>154</v>
      </c>
      <c r="H188" s="18">
        <v>2.7662037037037039E-3</v>
      </c>
      <c r="I188" s="19">
        <v>185</v>
      </c>
      <c r="J188" s="18">
        <v>2.7939814814814813E-2</v>
      </c>
      <c r="K188" s="19">
        <v>158</v>
      </c>
      <c r="L188" s="18">
        <v>2.0023148148148148E-3</v>
      </c>
      <c r="M188" s="19">
        <v>189</v>
      </c>
      <c r="N188" s="18">
        <v>1.894675925925926E-2</v>
      </c>
      <c r="O188" s="19">
        <v>178</v>
      </c>
      <c r="P188" s="18">
        <v>6.322916666666667E-2</v>
      </c>
      <c r="Q188" s="19">
        <v>186</v>
      </c>
      <c r="R188" s="17">
        <v>186</v>
      </c>
      <c r="S188" s="17">
        <v>23</v>
      </c>
      <c r="T188" s="17">
        <v>65</v>
      </c>
      <c r="U188" s="17" t="s">
        <v>19</v>
      </c>
      <c r="V188" s="20">
        <v>104</v>
      </c>
    </row>
    <row r="189" spans="2:22" ht="15.75" thickBot="1" x14ac:dyDescent="0.25">
      <c r="B189" s="15">
        <v>311</v>
      </c>
      <c r="C189" s="16" t="s">
        <v>464</v>
      </c>
      <c r="D189" s="17" t="s">
        <v>77</v>
      </c>
      <c r="E189" s="18">
        <v>0.45833333333333331</v>
      </c>
      <c r="F189" s="18">
        <v>1.0914351851851852E-2</v>
      </c>
      <c r="G189" s="19">
        <v>122</v>
      </c>
      <c r="H189" s="18">
        <v>3.7384259259259259E-3</v>
      </c>
      <c r="I189" s="19">
        <v>190</v>
      </c>
      <c r="J189" s="18">
        <v>2.8321759259259258E-2</v>
      </c>
      <c r="K189" s="19">
        <v>162</v>
      </c>
      <c r="L189" s="18">
        <v>2.3032407407407407E-3</v>
      </c>
      <c r="M189" s="19">
        <v>191</v>
      </c>
      <c r="N189" s="18">
        <v>1.7962962962962962E-2</v>
      </c>
      <c r="O189" s="19">
        <v>166</v>
      </c>
      <c r="P189" s="18">
        <v>6.3263888888888883E-2</v>
      </c>
      <c r="Q189" s="19">
        <v>187</v>
      </c>
      <c r="R189" s="17">
        <v>187</v>
      </c>
      <c r="S189" s="17">
        <v>22</v>
      </c>
      <c r="T189" s="17">
        <v>40</v>
      </c>
      <c r="U189" s="17" t="s">
        <v>36</v>
      </c>
      <c r="V189" s="20">
        <v>83</v>
      </c>
    </row>
    <row r="190" spans="2:22" ht="15.75" thickBot="1" x14ac:dyDescent="0.25">
      <c r="B190" s="15">
        <v>200</v>
      </c>
      <c r="C190" s="16" t="s">
        <v>466</v>
      </c>
      <c r="D190" s="17" t="s">
        <v>75</v>
      </c>
      <c r="E190" s="18">
        <v>0.45833333333333331</v>
      </c>
      <c r="F190" s="18">
        <v>9.3402777777777772E-3</v>
      </c>
      <c r="G190" s="19">
        <v>47</v>
      </c>
      <c r="H190" s="18">
        <v>2.3263888888888887E-3</v>
      </c>
      <c r="I190" s="19">
        <v>177</v>
      </c>
      <c r="J190" s="18">
        <v>3.1898148148148148E-2</v>
      </c>
      <c r="K190" s="19">
        <v>193</v>
      </c>
      <c r="L190" s="18">
        <v>1.2268518518518518E-3</v>
      </c>
      <c r="M190" s="19">
        <v>84</v>
      </c>
      <c r="N190" s="18">
        <v>1.846064814814815E-2</v>
      </c>
      <c r="O190" s="19">
        <v>173</v>
      </c>
      <c r="P190" s="18">
        <v>6.3287037037037031E-2</v>
      </c>
      <c r="Q190" s="19">
        <v>188</v>
      </c>
      <c r="R190" s="17">
        <v>189</v>
      </c>
      <c r="S190" s="17">
        <v>20</v>
      </c>
      <c r="T190" s="17">
        <v>42</v>
      </c>
      <c r="U190" s="17" t="s">
        <v>36</v>
      </c>
      <c r="V190" s="20">
        <v>85</v>
      </c>
    </row>
    <row r="191" spans="2:22" ht="15.75" thickBot="1" x14ac:dyDescent="0.25">
      <c r="B191" s="15">
        <v>203</v>
      </c>
      <c r="C191" s="16" t="s">
        <v>465</v>
      </c>
      <c r="D191" s="17" t="s">
        <v>75</v>
      </c>
      <c r="E191" s="18">
        <v>0.45833333333333331</v>
      </c>
      <c r="F191" s="18">
        <v>1.1122685185185185E-2</v>
      </c>
      <c r="G191" s="19">
        <v>135</v>
      </c>
      <c r="H191" s="18">
        <v>2.1180555555555558E-3</v>
      </c>
      <c r="I191" s="19">
        <v>172</v>
      </c>
      <c r="J191" s="18">
        <v>2.8576388888888887E-2</v>
      </c>
      <c r="K191" s="19">
        <v>168</v>
      </c>
      <c r="L191" s="18">
        <v>1.9907407407407408E-3</v>
      </c>
      <c r="M191" s="19">
        <v>188</v>
      </c>
      <c r="N191" s="18">
        <v>1.9456018518518518E-2</v>
      </c>
      <c r="O191" s="19">
        <v>184</v>
      </c>
      <c r="P191" s="18">
        <v>6.3287037037037031E-2</v>
      </c>
      <c r="Q191" s="19">
        <v>189</v>
      </c>
      <c r="R191" s="17">
        <v>188</v>
      </c>
      <c r="S191" s="17">
        <v>21</v>
      </c>
      <c r="T191" s="17">
        <v>41</v>
      </c>
      <c r="U191" s="17" t="s">
        <v>36</v>
      </c>
      <c r="V191" s="20">
        <v>84</v>
      </c>
    </row>
    <row r="192" spans="2:22" ht="15.75" thickBot="1" x14ac:dyDescent="0.25">
      <c r="B192" s="15">
        <v>194</v>
      </c>
      <c r="C192" s="16" t="s">
        <v>467</v>
      </c>
      <c r="D192" s="17" t="s">
        <v>213</v>
      </c>
      <c r="E192" s="18">
        <v>0.4513888888888889</v>
      </c>
      <c r="F192" s="18">
        <v>1.4444444444444444E-2</v>
      </c>
      <c r="G192" s="19">
        <v>194</v>
      </c>
      <c r="H192" s="18">
        <v>1.4120370370370369E-3</v>
      </c>
      <c r="I192" s="19">
        <v>111</v>
      </c>
      <c r="J192" s="18">
        <v>2.9710648148148149E-2</v>
      </c>
      <c r="K192" s="19">
        <v>183</v>
      </c>
      <c r="L192" s="18">
        <v>1.3310185185185185E-3</v>
      </c>
      <c r="M192" s="19">
        <v>112</v>
      </c>
      <c r="N192" s="18">
        <v>1.6446759259259258E-2</v>
      </c>
      <c r="O192" s="19">
        <v>125</v>
      </c>
      <c r="P192" s="18">
        <v>6.3368055555555552E-2</v>
      </c>
      <c r="Q192" s="19">
        <v>190</v>
      </c>
      <c r="R192" s="17">
        <v>190</v>
      </c>
      <c r="S192" s="17">
        <v>19</v>
      </c>
      <c r="T192" s="17">
        <v>34</v>
      </c>
      <c r="U192" s="17" t="s">
        <v>19</v>
      </c>
      <c r="V192" s="20">
        <v>105</v>
      </c>
    </row>
    <row r="193" spans="2:22" ht="15.75" thickBot="1" x14ac:dyDescent="0.25">
      <c r="B193" s="15">
        <v>198</v>
      </c>
      <c r="C193" s="16" t="s">
        <v>468</v>
      </c>
      <c r="D193" s="17" t="s">
        <v>77</v>
      </c>
      <c r="E193" s="18">
        <v>0.4513888888888889</v>
      </c>
      <c r="F193" s="18">
        <v>1.4583333333333334E-2</v>
      </c>
      <c r="G193" s="19">
        <v>195</v>
      </c>
      <c r="H193" s="18">
        <v>1.9097222222222222E-3</v>
      </c>
      <c r="I193" s="19">
        <v>166</v>
      </c>
      <c r="J193" s="18">
        <v>2.8993055555555557E-2</v>
      </c>
      <c r="K193" s="19">
        <v>172</v>
      </c>
      <c r="L193" s="18">
        <v>1.3657407407407407E-3</v>
      </c>
      <c r="M193" s="19">
        <v>120</v>
      </c>
      <c r="N193" s="18">
        <v>1.6689814814814814E-2</v>
      </c>
      <c r="O193" s="19">
        <v>129</v>
      </c>
      <c r="P193" s="18">
        <v>6.356481481481481E-2</v>
      </c>
      <c r="Q193" s="19">
        <v>191</v>
      </c>
      <c r="R193" s="17">
        <v>191</v>
      </c>
      <c r="S193" s="17">
        <v>22</v>
      </c>
      <c r="T193" s="17">
        <v>66</v>
      </c>
      <c r="U193" s="17" t="s">
        <v>19</v>
      </c>
      <c r="V193" s="20">
        <v>106</v>
      </c>
    </row>
    <row r="194" spans="2:22" ht="15.75" thickBot="1" x14ac:dyDescent="0.25">
      <c r="B194" s="15">
        <v>175</v>
      </c>
      <c r="C194" s="16" t="s">
        <v>222</v>
      </c>
      <c r="D194" s="17" t="s">
        <v>45</v>
      </c>
      <c r="E194" s="18">
        <v>0.45833333333333331</v>
      </c>
      <c r="F194" s="18">
        <v>1.2835648148148148E-2</v>
      </c>
      <c r="G194" s="19">
        <v>184</v>
      </c>
      <c r="H194" s="18">
        <v>2.2569444444444442E-3</v>
      </c>
      <c r="I194" s="19">
        <v>176</v>
      </c>
      <c r="J194" s="18">
        <v>2.9641203703703704E-2</v>
      </c>
      <c r="K194" s="19">
        <v>182</v>
      </c>
      <c r="L194" s="18">
        <v>1.6319444444444445E-3</v>
      </c>
      <c r="M194" s="19">
        <v>162</v>
      </c>
      <c r="N194" s="18">
        <v>1.7314814814814814E-2</v>
      </c>
      <c r="O194" s="19">
        <v>147</v>
      </c>
      <c r="P194" s="18">
        <v>6.3692129629629626E-2</v>
      </c>
      <c r="Q194" s="19">
        <v>192</v>
      </c>
      <c r="R194" s="17">
        <v>193</v>
      </c>
      <c r="S194" s="17">
        <v>19</v>
      </c>
      <c r="T194" s="17">
        <v>37</v>
      </c>
      <c r="U194" s="17" t="s">
        <v>36</v>
      </c>
      <c r="V194" s="20">
        <v>87</v>
      </c>
    </row>
    <row r="195" spans="2:22" ht="15.75" thickBot="1" x14ac:dyDescent="0.25">
      <c r="B195" s="15">
        <v>187</v>
      </c>
      <c r="C195" s="16" t="s">
        <v>469</v>
      </c>
      <c r="D195" s="17" t="s">
        <v>133</v>
      </c>
      <c r="E195" s="18">
        <v>0.45833333333333331</v>
      </c>
      <c r="F195" s="18">
        <v>1.0011574074074074E-2</v>
      </c>
      <c r="G195" s="19">
        <v>81</v>
      </c>
      <c r="H195" s="18">
        <v>1.6782407407407408E-3</v>
      </c>
      <c r="I195" s="19">
        <v>140</v>
      </c>
      <c r="J195" s="18">
        <v>2.886574074074074E-2</v>
      </c>
      <c r="K195" s="19">
        <v>169</v>
      </c>
      <c r="L195" s="18">
        <v>1.7592592592592592E-3</v>
      </c>
      <c r="M195" s="19">
        <v>172</v>
      </c>
      <c r="N195" s="18">
        <v>2.1342592592592594E-2</v>
      </c>
      <c r="O195" s="19">
        <v>194</v>
      </c>
      <c r="P195" s="18">
        <v>6.3692129629629626E-2</v>
      </c>
      <c r="Q195" s="19">
        <v>193</v>
      </c>
      <c r="R195" s="17">
        <v>192</v>
      </c>
      <c r="S195" s="17">
        <v>24</v>
      </c>
      <c r="T195" s="17">
        <v>43</v>
      </c>
      <c r="U195" s="17" t="s">
        <v>36</v>
      </c>
      <c r="V195" s="20">
        <v>86</v>
      </c>
    </row>
    <row r="196" spans="2:22" ht="15.75" thickBot="1" x14ac:dyDescent="0.25">
      <c r="B196" s="15">
        <v>65</v>
      </c>
      <c r="C196" s="16" t="s">
        <v>470</v>
      </c>
      <c r="D196" s="17" t="s">
        <v>77</v>
      </c>
      <c r="E196" s="18">
        <v>0.45833333333333331</v>
      </c>
      <c r="F196" s="18">
        <v>1.2789351851851852E-2</v>
      </c>
      <c r="G196" s="19">
        <v>182</v>
      </c>
      <c r="H196" s="18">
        <v>1.3888888888888889E-3</v>
      </c>
      <c r="I196" s="19">
        <v>108</v>
      </c>
      <c r="J196" s="18">
        <v>2.9409722222222223E-2</v>
      </c>
      <c r="K196" s="19">
        <v>178</v>
      </c>
      <c r="L196" s="18">
        <v>1.5972222222222223E-3</v>
      </c>
      <c r="M196" s="19">
        <v>155</v>
      </c>
      <c r="N196" s="18">
        <v>1.8715277777777779E-2</v>
      </c>
      <c r="O196" s="19">
        <v>176</v>
      </c>
      <c r="P196" s="18">
        <v>6.3923611111111112E-2</v>
      </c>
      <c r="Q196" s="19">
        <v>194</v>
      </c>
      <c r="R196" s="17">
        <v>194</v>
      </c>
      <c r="S196" s="17">
        <v>27</v>
      </c>
      <c r="T196" s="17">
        <v>7</v>
      </c>
      <c r="U196" s="17" t="s">
        <v>36</v>
      </c>
      <c r="V196" s="20">
        <v>88</v>
      </c>
    </row>
    <row r="197" spans="2:22" ht="15.75" thickBot="1" x14ac:dyDescent="0.25">
      <c r="B197" s="15">
        <v>61</v>
      </c>
      <c r="C197" s="16" t="s">
        <v>471</v>
      </c>
      <c r="D197" s="17" t="s">
        <v>77</v>
      </c>
      <c r="E197" s="18">
        <v>0.45833333333333331</v>
      </c>
      <c r="F197" s="18">
        <v>1.2106481481481482E-2</v>
      </c>
      <c r="G197" s="19">
        <v>167</v>
      </c>
      <c r="H197" s="18">
        <v>2.5694444444444445E-3</v>
      </c>
      <c r="I197" s="19">
        <v>181</v>
      </c>
      <c r="J197" s="18">
        <v>2.841435185185185E-2</v>
      </c>
      <c r="K197" s="19">
        <v>165</v>
      </c>
      <c r="L197" s="18">
        <v>1.712962962962963E-3</v>
      </c>
      <c r="M197" s="19">
        <v>166</v>
      </c>
      <c r="N197" s="18">
        <v>1.923611111111111E-2</v>
      </c>
      <c r="O197" s="19">
        <v>181</v>
      </c>
      <c r="P197" s="18">
        <v>6.4062499999999994E-2</v>
      </c>
      <c r="Q197" s="19">
        <v>195</v>
      </c>
      <c r="R197" s="17">
        <v>195</v>
      </c>
      <c r="S197" s="17">
        <v>20</v>
      </c>
      <c r="T197" s="17">
        <v>44</v>
      </c>
      <c r="U197" s="17" t="s">
        <v>36</v>
      </c>
      <c r="V197" s="20">
        <v>89</v>
      </c>
    </row>
    <row r="198" spans="2:22" ht="15.75" thickBot="1" x14ac:dyDescent="0.25">
      <c r="B198" s="15">
        <v>182</v>
      </c>
      <c r="C198" s="16" t="s">
        <v>472</v>
      </c>
      <c r="D198" s="17" t="s">
        <v>473</v>
      </c>
      <c r="E198" s="18">
        <v>0.4513888888888889</v>
      </c>
      <c r="F198" s="18">
        <v>1.425925925925926E-2</v>
      </c>
      <c r="G198" s="19">
        <v>192</v>
      </c>
      <c r="H198" s="18">
        <v>1.4351851851851852E-3</v>
      </c>
      <c r="I198" s="19">
        <v>113</v>
      </c>
      <c r="J198" s="18">
        <v>2.7581018518518519E-2</v>
      </c>
      <c r="K198" s="19">
        <v>151</v>
      </c>
      <c r="L198" s="18">
        <v>2.6041666666666665E-3</v>
      </c>
      <c r="M198" s="19">
        <v>195</v>
      </c>
      <c r="N198" s="18">
        <v>1.8310185185185186E-2</v>
      </c>
      <c r="O198" s="19">
        <v>171</v>
      </c>
      <c r="P198" s="18">
        <v>6.4212962962962958E-2</v>
      </c>
      <c r="Q198" s="19">
        <v>196</v>
      </c>
      <c r="R198" s="17">
        <v>196</v>
      </c>
      <c r="S198" s="17">
        <v>21</v>
      </c>
      <c r="T198" s="17">
        <v>67</v>
      </c>
      <c r="U198" s="17" t="s">
        <v>19</v>
      </c>
      <c r="V198" s="20">
        <v>107</v>
      </c>
    </row>
    <row r="199" spans="2:22" ht="15.75" thickBot="1" x14ac:dyDescent="0.25">
      <c r="B199" s="15">
        <v>202</v>
      </c>
      <c r="C199" s="16" t="s">
        <v>474</v>
      </c>
      <c r="D199" s="17" t="s">
        <v>164</v>
      </c>
      <c r="E199" s="18">
        <v>0.45833333333333331</v>
      </c>
      <c r="F199" s="18">
        <v>1.2129629629629629E-2</v>
      </c>
      <c r="G199" s="19">
        <v>168</v>
      </c>
      <c r="H199" s="18">
        <v>2.1412037037037038E-3</v>
      </c>
      <c r="I199" s="19">
        <v>173</v>
      </c>
      <c r="J199" s="18">
        <v>3.005787037037037E-2</v>
      </c>
      <c r="K199" s="19">
        <v>187</v>
      </c>
      <c r="L199" s="18">
        <v>1.2037037037037038E-3</v>
      </c>
      <c r="M199" s="19">
        <v>79</v>
      </c>
      <c r="N199" s="18">
        <v>1.8692129629629628E-2</v>
      </c>
      <c r="O199" s="19">
        <v>174</v>
      </c>
      <c r="P199" s="18">
        <v>6.4236111111111105E-2</v>
      </c>
      <c r="Q199" s="19">
        <v>197</v>
      </c>
      <c r="R199" s="17">
        <v>197</v>
      </c>
      <c r="S199" s="17">
        <v>22</v>
      </c>
      <c r="T199" s="17">
        <v>45</v>
      </c>
      <c r="U199" s="17" t="s">
        <v>36</v>
      </c>
      <c r="V199" s="20">
        <v>90</v>
      </c>
    </row>
    <row r="200" spans="2:22" ht="15.75" thickBot="1" x14ac:dyDescent="0.25">
      <c r="B200" s="15">
        <v>151</v>
      </c>
      <c r="C200" s="16" t="s">
        <v>475</v>
      </c>
      <c r="D200" s="17" t="s">
        <v>27</v>
      </c>
      <c r="E200" s="18">
        <v>0.4513888888888889</v>
      </c>
      <c r="F200" s="18">
        <v>1.3854166666666667E-2</v>
      </c>
      <c r="G200" s="19">
        <v>190</v>
      </c>
      <c r="H200" s="18">
        <v>1.3657407407407407E-3</v>
      </c>
      <c r="I200" s="19">
        <v>104</v>
      </c>
      <c r="J200" s="18">
        <v>2.9571759259259259E-2</v>
      </c>
      <c r="K200" s="19">
        <v>181</v>
      </c>
      <c r="L200" s="18">
        <v>1.6087962962962963E-3</v>
      </c>
      <c r="M200" s="19">
        <v>158</v>
      </c>
      <c r="N200" s="18">
        <v>1.7974537037037035E-2</v>
      </c>
      <c r="O200" s="19">
        <v>167</v>
      </c>
      <c r="P200" s="18">
        <v>6.4398148148148149E-2</v>
      </c>
      <c r="Q200" s="19">
        <v>198</v>
      </c>
      <c r="R200" s="17">
        <v>198</v>
      </c>
      <c r="S200" s="17">
        <v>21</v>
      </c>
      <c r="T200" s="17">
        <v>68</v>
      </c>
      <c r="U200" s="17" t="s">
        <v>19</v>
      </c>
      <c r="V200" s="20">
        <v>108</v>
      </c>
    </row>
    <row r="201" spans="2:22" ht="15.75" thickBot="1" x14ac:dyDescent="0.25">
      <c r="B201" s="15">
        <v>131</v>
      </c>
      <c r="C201" s="16" t="s">
        <v>476</v>
      </c>
      <c r="D201" s="17" t="s">
        <v>164</v>
      </c>
      <c r="E201" s="18">
        <v>0.4513888888888889</v>
      </c>
      <c r="F201" s="18">
        <v>1.1412037037037037E-2</v>
      </c>
      <c r="G201" s="19">
        <v>148</v>
      </c>
      <c r="H201" s="18">
        <v>1.3541666666666667E-3</v>
      </c>
      <c r="I201" s="19">
        <v>101</v>
      </c>
      <c r="J201" s="18">
        <v>3.0879629629629628E-2</v>
      </c>
      <c r="K201" s="19">
        <v>192</v>
      </c>
      <c r="L201" s="18">
        <v>1.2152777777777778E-3</v>
      </c>
      <c r="M201" s="19">
        <v>83</v>
      </c>
      <c r="N201" s="18">
        <v>1.9525462962962963E-2</v>
      </c>
      <c r="O201" s="19">
        <v>186</v>
      </c>
      <c r="P201" s="18">
        <v>6.4409722222222215E-2</v>
      </c>
      <c r="Q201" s="19">
        <v>199</v>
      </c>
      <c r="R201" s="17">
        <v>199</v>
      </c>
      <c r="S201" s="17">
        <v>21</v>
      </c>
      <c r="T201" s="17">
        <v>69</v>
      </c>
      <c r="U201" s="17" t="s">
        <v>19</v>
      </c>
      <c r="V201" s="20">
        <v>109</v>
      </c>
    </row>
    <row r="202" spans="2:22" ht="15.75" thickBot="1" x14ac:dyDescent="0.25">
      <c r="B202" s="31">
        <v>153</v>
      </c>
      <c r="C202" s="32" t="s">
        <v>204</v>
      </c>
      <c r="D202" s="33" t="s">
        <v>205</v>
      </c>
      <c r="E202" s="34">
        <v>0.45833333333333331</v>
      </c>
      <c r="F202" s="34">
        <v>1.0567129629629629E-2</v>
      </c>
      <c r="G202" s="19">
        <v>105</v>
      </c>
      <c r="H202" s="34">
        <v>1.8518518518518519E-3</v>
      </c>
      <c r="I202" s="19">
        <v>159</v>
      </c>
      <c r="J202" s="34">
        <v>2.9837962962962962E-2</v>
      </c>
      <c r="K202" s="19">
        <v>185</v>
      </c>
      <c r="L202" s="34">
        <v>1.1111111111111111E-3</v>
      </c>
      <c r="M202" s="19">
        <v>52</v>
      </c>
      <c r="N202" s="34">
        <v>2.1226851851851851E-2</v>
      </c>
      <c r="O202" s="19">
        <v>193</v>
      </c>
      <c r="P202" s="34">
        <v>6.4618055555555554E-2</v>
      </c>
      <c r="Q202" s="19">
        <v>200</v>
      </c>
      <c r="R202" s="33">
        <v>200</v>
      </c>
      <c r="S202" s="33">
        <v>20</v>
      </c>
      <c r="T202" s="33">
        <v>46</v>
      </c>
      <c r="U202" s="33" t="s">
        <v>36</v>
      </c>
      <c r="V202" s="35">
        <v>91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2B17-2DA1-476C-92D7-84DC0EC82AC2}">
  <dimension ref="A2:V38"/>
  <sheetViews>
    <sheetView zoomScale="105" workbookViewId="0">
      <selection activeCell="E13" sqref="E13"/>
    </sheetView>
  </sheetViews>
  <sheetFormatPr defaultRowHeight="15" x14ac:dyDescent="0.2"/>
  <cols>
    <col min="1" max="1" width="5.6484375" customWidth="1"/>
    <col min="2" max="2" width="4.03515625" bestFit="1" customWidth="1"/>
    <col min="3" max="3" width="14.125" bestFit="1" customWidth="1"/>
    <col min="4" max="4" width="13.5859375" bestFit="1" customWidth="1"/>
    <col min="5" max="5" width="10.4921875" customWidth="1"/>
    <col min="6" max="6" width="7.12890625" bestFit="1" customWidth="1"/>
    <col min="7" max="7" width="9.68359375" customWidth="1"/>
    <col min="8" max="8" width="7.12890625" bestFit="1" customWidth="1"/>
    <col min="9" max="9" width="6.9921875" customWidth="1"/>
    <col min="10" max="10" width="7.12890625" bestFit="1" customWidth="1"/>
    <col min="11" max="11" width="8.0703125" bestFit="1" customWidth="1"/>
    <col min="12" max="12" width="7.12890625" bestFit="1" customWidth="1"/>
    <col min="13" max="13" width="7.6640625" customWidth="1"/>
    <col min="14" max="14" width="7.12890625" bestFit="1" customWidth="1"/>
    <col min="15" max="15" width="7.93359375" bestFit="1" customWidth="1"/>
    <col min="16" max="16" width="10.35546875" bestFit="1" customWidth="1"/>
    <col min="17" max="17" width="12.10546875" customWidth="1"/>
    <col min="18" max="18" width="7.3984375" bestFit="1" customWidth="1"/>
    <col min="19" max="19" width="6.3203125" customWidth="1"/>
    <col min="20" max="20" width="7.93359375" bestFit="1" customWidth="1"/>
    <col min="21" max="21" width="6.05078125" bestFit="1" customWidth="1"/>
    <col min="22" max="22" width="10.4921875" bestFit="1" customWidth="1"/>
  </cols>
  <sheetData>
    <row r="2" spans="1:22" ht="15.75" thickBot="1" x14ac:dyDescent="0.25"/>
    <row r="3" spans="1:22" ht="15.75" thickBot="1" x14ac:dyDescent="0.25">
      <c r="A3" s="37"/>
      <c r="B3" s="37" t="s">
        <v>0</v>
      </c>
      <c r="C3" s="10" t="s">
        <v>1</v>
      </c>
      <c r="D3" s="10" t="s">
        <v>3</v>
      </c>
      <c r="E3" s="10" t="s">
        <v>4</v>
      </c>
      <c r="F3" s="10" t="s">
        <v>5</v>
      </c>
      <c r="G3" s="36" t="s">
        <v>254</v>
      </c>
      <c r="H3" s="10" t="s">
        <v>6</v>
      </c>
      <c r="I3" s="36" t="s">
        <v>253</v>
      </c>
      <c r="J3" s="10" t="s">
        <v>7</v>
      </c>
      <c r="K3" s="36" t="s">
        <v>252</v>
      </c>
      <c r="L3" s="10" t="s">
        <v>8</v>
      </c>
      <c r="M3" s="36" t="s">
        <v>251</v>
      </c>
      <c r="N3" s="10" t="s">
        <v>9</v>
      </c>
      <c r="O3" s="36" t="s">
        <v>250</v>
      </c>
      <c r="P3" s="10" t="s">
        <v>10</v>
      </c>
      <c r="Q3" s="36" t="s">
        <v>249</v>
      </c>
      <c r="R3" s="10" t="s">
        <v>11</v>
      </c>
      <c r="S3" s="10" t="s">
        <v>12</v>
      </c>
      <c r="T3" s="10" t="s">
        <v>13</v>
      </c>
      <c r="U3" s="10" t="s">
        <v>14</v>
      </c>
      <c r="V3" s="10" t="s">
        <v>15</v>
      </c>
    </row>
    <row r="4" spans="1:22" ht="15.75" thickBot="1" x14ac:dyDescent="0.25">
      <c r="A4" s="37">
        <v>2024</v>
      </c>
      <c r="B4" s="38">
        <v>132</v>
      </c>
      <c r="C4" s="39" t="s">
        <v>30</v>
      </c>
      <c r="D4" s="38" t="s">
        <v>32</v>
      </c>
      <c r="E4" s="40">
        <v>0.4513888888888889</v>
      </c>
      <c r="F4" s="40">
        <v>9.8263888888888897E-3</v>
      </c>
      <c r="G4" s="41">
        <v>72</v>
      </c>
      <c r="H4" s="40">
        <v>6.9444444444444447E-4</v>
      </c>
      <c r="I4" s="41">
        <v>23</v>
      </c>
      <c r="J4" s="40">
        <v>2.3113425925925926E-2</v>
      </c>
      <c r="K4" s="41">
        <v>34</v>
      </c>
      <c r="L4" s="40">
        <v>1.1458333333333333E-3</v>
      </c>
      <c r="M4" s="41">
        <v>58</v>
      </c>
      <c r="N4" s="40">
        <v>1.3472222222222222E-2</v>
      </c>
      <c r="O4" s="41">
        <v>31</v>
      </c>
      <c r="P4" s="40">
        <v>4.8275462962962964E-2</v>
      </c>
      <c r="Q4" s="41">
        <v>24</v>
      </c>
      <c r="R4" s="38">
        <v>24</v>
      </c>
      <c r="S4" s="38">
        <v>20</v>
      </c>
      <c r="T4" s="38">
        <v>21</v>
      </c>
      <c r="U4" s="38" t="s">
        <v>19</v>
      </c>
      <c r="V4" s="38">
        <v>23</v>
      </c>
    </row>
    <row r="5" spans="1:22" x14ac:dyDescent="0.2">
      <c r="A5" s="37">
        <v>2026</v>
      </c>
      <c r="B5" s="42">
        <v>284</v>
      </c>
      <c r="C5" s="43" t="s">
        <v>30</v>
      </c>
      <c r="D5" s="43" t="s">
        <v>31</v>
      </c>
      <c r="E5" s="44">
        <v>0.45833333333333331</v>
      </c>
      <c r="F5" s="44">
        <v>1.0266203703703704E-2</v>
      </c>
      <c r="G5" s="45">
        <v>16</v>
      </c>
      <c r="H5" s="44">
        <v>2.8009259259259259E-3</v>
      </c>
      <c r="I5" s="45">
        <v>127</v>
      </c>
      <c r="J5" s="44">
        <v>2.1585648148148149E-2</v>
      </c>
      <c r="K5" s="45">
        <v>6</v>
      </c>
      <c r="L5" s="44">
        <v>6.8287037037037036E-4</v>
      </c>
      <c r="M5" s="45">
        <v>2</v>
      </c>
      <c r="N5" s="44">
        <v>1.2719907407407407E-2</v>
      </c>
      <c r="O5" s="45">
        <v>13</v>
      </c>
      <c r="P5" s="44">
        <v>4.8078703703703707E-2</v>
      </c>
      <c r="Q5" s="45">
        <v>6</v>
      </c>
      <c r="R5" s="43">
        <v>6</v>
      </c>
      <c r="S5" s="43">
        <v>22</v>
      </c>
      <c r="T5" s="43">
        <v>5</v>
      </c>
      <c r="U5" s="43" t="s">
        <v>19</v>
      </c>
      <c r="V5" s="46">
        <v>6</v>
      </c>
    </row>
    <row r="8" spans="1:22" x14ac:dyDescent="0.2">
      <c r="A8" t="s">
        <v>481</v>
      </c>
      <c r="G8" s="48">
        <f>G5-G4</f>
        <v>-56</v>
      </c>
      <c r="H8" s="47"/>
      <c r="I8" s="47"/>
      <c r="J8" s="47"/>
      <c r="K8" s="48">
        <f>K5-K4</f>
        <v>-28</v>
      </c>
      <c r="L8" s="47"/>
      <c r="M8" s="47"/>
      <c r="N8" s="47"/>
      <c r="O8" s="48">
        <f>O5-O4</f>
        <v>-18</v>
      </c>
      <c r="Q8" s="48">
        <f>Q5-Q4</f>
        <v>-18</v>
      </c>
    </row>
    <row r="15" spans="1:22" x14ac:dyDescent="0.2">
      <c r="Q15" t="s">
        <v>482</v>
      </c>
    </row>
    <row r="16" spans="1:22" x14ac:dyDescent="0.2">
      <c r="F16" s="47"/>
    </row>
    <row r="17" spans="1:22" x14ac:dyDescent="0.2">
      <c r="B17" s="37"/>
      <c r="C17" s="49"/>
      <c r="D17" s="49"/>
      <c r="E17" s="49"/>
      <c r="F17" s="49"/>
      <c r="G17" s="50"/>
      <c r="H17" s="49"/>
      <c r="I17" s="50"/>
      <c r="J17" s="49"/>
      <c r="K17" s="50"/>
      <c r="L17" s="49"/>
      <c r="M17" s="50"/>
      <c r="N17" s="49"/>
      <c r="O17" s="50"/>
      <c r="P17" s="49"/>
      <c r="Q17" s="50"/>
      <c r="R17" s="49"/>
      <c r="S17" s="49"/>
      <c r="T17" s="49"/>
      <c r="U17" s="49"/>
      <c r="V17" s="49"/>
    </row>
    <row r="18" spans="1:22" x14ac:dyDescent="0.2">
      <c r="A18" s="37"/>
      <c r="B18" s="51"/>
      <c r="C18" s="51"/>
      <c r="D18" s="51"/>
      <c r="E18" s="52"/>
      <c r="F18" s="52"/>
      <c r="G18" s="53"/>
      <c r="H18" s="52"/>
      <c r="I18" s="53"/>
      <c r="J18" s="52"/>
      <c r="K18" s="53"/>
      <c r="L18" s="52"/>
      <c r="M18" s="53"/>
      <c r="N18" s="52"/>
      <c r="O18" s="53"/>
      <c r="P18" s="52"/>
      <c r="Q18" s="53"/>
      <c r="R18" s="51"/>
      <c r="S18" s="51"/>
      <c r="T18" s="51"/>
      <c r="U18" s="51"/>
      <c r="V18" s="51"/>
    </row>
    <row r="19" spans="1:22" x14ac:dyDescent="0.2">
      <c r="A19" s="37"/>
    </row>
    <row r="28" spans="1:22" x14ac:dyDescent="0.2">
      <c r="D28" s="57"/>
      <c r="E28" s="58"/>
      <c r="F28" s="59"/>
      <c r="G28" s="58"/>
      <c r="H28" s="59"/>
      <c r="I28" s="58"/>
      <c r="J28" s="59"/>
      <c r="K28" s="58"/>
      <c r="L28" s="60"/>
    </row>
    <row r="29" spans="1:22" x14ac:dyDescent="0.2">
      <c r="D29" s="57"/>
      <c r="E29" s="61"/>
    </row>
    <row r="30" spans="1:22" x14ac:dyDescent="0.2">
      <c r="D30" s="57"/>
      <c r="E30" s="58"/>
    </row>
    <row r="31" spans="1:22" x14ac:dyDescent="0.2">
      <c r="D31" s="57"/>
      <c r="E31" s="58"/>
    </row>
    <row r="32" spans="1:22" x14ac:dyDescent="0.2">
      <c r="D32" s="57"/>
    </row>
    <row r="33" spans="4:4" x14ac:dyDescent="0.2">
      <c r="D33" s="57"/>
    </row>
    <row r="34" spans="4:4" x14ac:dyDescent="0.2">
      <c r="D34" s="57"/>
    </row>
    <row r="35" spans="4:4" x14ac:dyDescent="0.2">
      <c r="D35" s="57"/>
    </row>
    <row r="36" spans="4:4" x14ac:dyDescent="0.2">
      <c r="D36" s="57"/>
    </row>
    <row r="37" spans="4:4" x14ac:dyDescent="0.2">
      <c r="D37" s="57"/>
    </row>
    <row r="38" spans="4:4" x14ac:dyDescent="0.2">
      <c r="D38" s="5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 Results</vt:lpstr>
      <vt:lpstr>SCU Only</vt:lpstr>
      <vt:lpstr>2024 Results</vt:lpstr>
      <vt:lpstr>24' - 26'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Gall</dc:creator>
  <cp:lastModifiedBy>Charlie Gall</cp:lastModifiedBy>
  <dcterms:created xsi:type="dcterms:W3CDTF">2026-02-15T00:25:23Z</dcterms:created>
  <dcterms:modified xsi:type="dcterms:W3CDTF">2026-02-17T01:14:06Z</dcterms:modified>
</cp:coreProperties>
</file>